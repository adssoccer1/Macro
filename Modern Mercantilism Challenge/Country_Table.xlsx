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US_Trade_Partners" sheetId="2" r:id="rId5"/>
    <sheet state="visible" name="Styled" sheetId="3" r:id="rId6"/>
  </sheets>
  <definedNames/>
  <calcPr/>
</workbook>
</file>

<file path=xl/sharedStrings.xml><?xml version="1.0" encoding="utf-8"?>
<sst xmlns="http://schemas.openxmlformats.org/spreadsheetml/2006/main" count="163" uniqueCount="68">
  <si>
    <t>Country</t>
  </si>
  <si>
    <t>CurrentAcct_to_GDP_%</t>
  </si>
  <si>
    <t>GovDebt_to_GDP</t>
  </si>
  <si>
    <t>Fiscal_Deficit_to_GDP</t>
  </si>
  <si>
    <t>Nominal_10y_Yield</t>
  </si>
  <si>
    <t>Real_10y_Yield</t>
  </si>
  <si>
    <t>Policy_Rate_%</t>
  </si>
  <si>
    <t>FX_Reserves_to_GDP_%</t>
  </si>
  <si>
    <t>NIIP/GDP_Change_10yr_Lookback</t>
  </si>
  <si>
    <t>Exports_to_USA_as_%_of_GDP</t>
  </si>
  <si>
    <t>ForOwn_%_MktCap</t>
  </si>
  <si>
    <t>P_E_Pctile_20y_Lookback</t>
  </si>
  <si>
    <t>Nasdaq_Corr_1y</t>
  </si>
  <si>
    <t>Bond_Total_Score</t>
  </si>
  <si>
    <t>Equity_Total_Score</t>
  </si>
  <si>
    <t>AR</t>
  </si>
  <si>
    <t>68 %</t>
  </si>
  <si>
    <t>BR</t>
  </si>
  <si>
    <t>65 %</t>
  </si>
  <si>
    <t>CA</t>
  </si>
  <si>
    <t>≈100 %</t>
  </si>
  <si>
    <t>CH</t>
  </si>
  <si>
    <t>32 %</t>
  </si>
  <si>
    <t>CL</t>
  </si>
  <si>
    <t>4 %</t>
  </si>
  <si>
    <t>CO</t>
  </si>
  <si>
    <t>6 %</t>
  </si>
  <si>
    <t>DE</t>
  </si>
  <si>
    <t>GB</t>
  </si>
  <si>
    <t>IN</t>
  </si>
  <si>
    <t>99.6 %</t>
  </si>
  <si>
    <t>JP</t>
  </si>
  <si>
    <t>61 %</t>
  </si>
  <si>
    <t>KR</t>
  </si>
  <si>
    <t>MX</t>
  </si>
  <si>
    <t>16 %</t>
  </si>
  <si>
    <t>MY</t>
  </si>
  <si>
    <t>-96*</t>
  </si>
  <si>
    <t>15 %</t>
  </si>
  <si>
    <t>PE</t>
  </si>
  <si>
    <t>25 %</t>
  </si>
  <si>
    <t>TH</t>
  </si>
  <si>
    <t>34 %</t>
  </si>
  <si>
    <t>TR</t>
  </si>
  <si>
    <t>93 %</t>
  </si>
  <si>
    <t>US</t>
  </si>
  <si>
    <t>99.98 %</t>
  </si>
  <si>
    <t>99 %</t>
  </si>
  <si>
    <t>China</t>
  </si>
  <si>
    <t>Mexico</t>
  </si>
  <si>
    <t>Others</t>
  </si>
  <si>
    <t>Germany</t>
  </si>
  <si>
    <t>Taiwan</t>
  </si>
  <si>
    <t>Japan</t>
  </si>
  <si>
    <t>South Korea</t>
  </si>
  <si>
    <t>Canada</t>
  </si>
  <si>
    <t>India</t>
  </si>
  <si>
    <t>France</t>
  </si>
  <si>
    <t>United Kingdom</t>
  </si>
  <si>
    <t>Belgium</t>
  </si>
  <si>
    <t>Australia</t>
  </si>
  <si>
    <t>Singapore</t>
  </si>
  <si>
    <t>Brazil</t>
  </si>
  <si>
    <t>Netherlands</t>
  </si>
  <si>
    <t>FX_Reserves_$bn</t>
  </si>
  <si>
    <t>Real_10y_Yield_Percentile</t>
  </si>
  <si>
    <t>Yield_US10y_Corr_1y</t>
  </si>
  <si>
    <t>P_E_Pctile_2005+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</si>
</sst>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rgb="FFFFFFFF"/>
      <name val="Roboto"/>
    </font>
    <font>
      <color theme="1"/>
      <name val="Calibri"/>
      <scheme val="minor"/>
    </font>
    <font>
      <sz val="11.0"/>
      <color theme="1"/>
      <name val="Calibri"/>
    </font>
    <font>
      <sz val="11.0"/>
      <color rgb="FF434343"/>
      <name val="Roboto"/>
    </font>
    <font>
      <color rgb="FF000000"/>
      <name val="Calibri"/>
      <scheme val="minor"/>
    </font>
    <font>
      <sz val="8.0"/>
      <color rgb="FF000000"/>
      <name val="Sans-serif"/>
    </font>
    <font>
      <color rgb="FFF1F1F1"/>
      <name val="Calibri"/>
      <scheme val="minor"/>
    </font>
  </fonts>
  <fills count="4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2F2F2"/>
        <bgColor rgb="FFF2F2F2"/>
      </patternFill>
    </fill>
    <fill>
      <patternFill patternType="solid">
        <fgColor rgb="FF053061"/>
        <bgColor rgb="FF053061"/>
      </patternFill>
    </fill>
    <fill>
      <patternFill patternType="solid">
        <fgColor rgb="FF67001F"/>
        <bgColor rgb="FF67001F"/>
      </patternFill>
    </fill>
    <fill>
      <patternFill patternType="solid">
        <fgColor rgb="FF000000"/>
        <bgColor rgb="FF000000"/>
      </patternFill>
    </fill>
    <fill>
      <patternFill patternType="solid">
        <fgColor rgb="FFBF3338"/>
        <bgColor rgb="FFBF3338"/>
      </patternFill>
    </fill>
    <fill>
      <patternFill patternType="solid">
        <fgColor rgb="FFEC9374"/>
        <bgColor rgb="FFEC9374"/>
      </patternFill>
    </fill>
    <fill>
      <patternFill patternType="solid">
        <fgColor rgb="FFE6866A"/>
        <bgColor rgb="FFE6866A"/>
      </patternFill>
    </fill>
    <fill>
      <patternFill patternType="solid">
        <fgColor rgb="FFF0F4F6"/>
        <bgColor rgb="FFF0F4F6"/>
      </patternFill>
    </fill>
    <fill>
      <patternFill patternType="solid">
        <fgColor rgb="FFF8BDA1"/>
        <bgColor rgb="FFF8BDA1"/>
      </patternFill>
    </fill>
    <fill>
      <patternFill patternType="solid">
        <fgColor rgb="FFFAE7DC"/>
        <bgColor rgb="FFFAE7DC"/>
      </patternFill>
    </fill>
    <fill>
      <patternFill patternType="solid">
        <fgColor rgb="FFC2383A"/>
        <bgColor rgb="FFC2383A"/>
      </patternFill>
    </fill>
    <fill>
      <patternFill patternType="solid">
        <fgColor rgb="FF1D5FA2"/>
        <bgColor rgb="FF1D5FA2"/>
      </patternFill>
    </fill>
    <fill>
      <patternFill patternType="solid">
        <fgColor rgb="FFF8BB9E"/>
        <bgColor rgb="FFF8BB9E"/>
      </patternFill>
    </fill>
    <fill>
      <patternFill patternType="solid">
        <fgColor rgb="FFF8F2EF"/>
        <bgColor rgb="FFF8F2EF"/>
      </patternFill>
    </fill>
    <fill>
      <patternFill patternType="solid">
        <fgColor rgb="FFFDDCC9"/>
        <bgColor rgb="FFFDDCC9"/>
      </patternFill>
    </fill>
    <fill>
      <patternFill patternType="solid">
        <fgColor rgb="FF760521"/>
        <bgColor rgb="FF760521"/>
      </patternFill>
    </fill>
    <fill>
      <patternFill patternType="solid">
        <fgColor rgb="FFFCD5BF"/>
        <bgColor rgb="FFFCD5BF"/>
      </patternFill>
    </fill>
    <fill>
      <patternFill patternType="solid">
        <fgColor rgb="FFEFF3F5"/>
        <bgColor rgb="FFEFF3F5"/>
      </patternFill>
    </fill>
    <fill>
      <patternFill patternType="solid">
        <fgColor rgb="FFF8F1ED"/>
        <bgColor rgb="FFF8F1ED"/>
      </patternFill>
    </fill>
    <fill>
      <patternFill patternType="solid">
        <fgColor rgb="FFD86551"/>
        <bgColor rgb="FFD86551"/>
      </patternFill>
    </fill>
    <fill>
      <patternFill patternType="solid">
        <fgColor rgb="FFF7B596"/>
        <bgColor rgb="FFF7B596"/>
      </patternFill>
    </fill>
    <fill>
      <patternFill patternType="solid">
        <fgColor rgb="FFF9EEE7"/>
        <bgColor rgb="FFF9EEE7"/>
      </patternFill>
    </fill>
    <fill>
      <patternFill patternType="solid">
        <fgColor rgb="FFC7E0ED"/>
        <bgColor rgb="FFC7E0ED"/>
      </patternFill>
    </fill>
    <fill>
      <patternFill patternType="solid">
        <fgColor rgb="FFF5A886"/>
        <bgColor rgb="FFF5A886"/>
      </patternFill>
    </fill>
    <fill>
      <patternFill patternType="solid">
        <fgColor rgb="FFFBD0B9"/>
        <bgColor rgb="FFFBD0B9"/>
      </patternFill>
    </fill>
    <fill>
      <patternFill patternType="solid">
        <fgColor rgb="FFF4A683"/>
        <bgColor rgb="FFF4A683"/>
      </patternFill>
    </fill>
    <fill>
      <patternFill patternType="solid">
        <fgColor rgb="FFD8E9F1"/>
        <bgColor rgb="FFD8E9F1"/>
      </patternFill>
    </fill>
    <fill>
      <patternFill patternType="solid">
        <fgColor rgb="FFFCDFCF"/>
        <bgColor rgb="FFFCDFCF"/>
      </patternFill>
    </fill>
    <fill>
      <patternFill patternType="solid">
        <fgColor rgb="FFE58368"/>
        <bgColor rgb="FFE58368"/>
      </patternFill>
    </fill>
    <fill>
      <patternFill patternType="solid">
        <fgColor rgb="FFFAC8AF"/>
        <bgColor rgb="FFFAC8AF"/>
      </patternFill>
    </fill>
    <fill>
      <patternFill patternType="solid">
        <fgColor rgb="FF2B73B3"/>
        <bgColor rgb="FF2B73B3"/>
      </patternFill>
    </fill>
    <fill>
      <patternFill patternType="solid">
        <fgColor rgb="FFF9C2A7"/>
        <bgColor rgb="FFF9C2A7"/>
      </patternFill>
    </fill>
    <fill>
      <patternFill patternType="solid">
        <fgColor rgb="FF144E8A"/>
        <bgColor rgb="FF144E8A"/>
      </patternFill>
    </fill>
    <fill>
      <patternFill patternType="solid">
        <fgColor rgb="FFF9C6AC"/>
        <bgColor rgb="FFF9C6AC"/>
      </patternFill>
    </fill>
    <fill>
      <patternFill patternType="solid">
        <fgColor rgb="FF8AC0DB"/>
        <bgColor rgb="FF8AC0DB"/>
      </patternFill>
    </fill>
    <fill>
      <patternFill patternType="solid">
        <fgColor rgb="FF9F1228"/>
        <bgColor rgb="FF9F1228"/>
      </patternFill>
    </fill>
    <fill>
      <patternFill patternType="solid">
        <fgColor rgb="FFF3F5F6"/>
        <bgColor rgb="FFF3F5F6"/>
      </patternFill>
    </fill>
    <fill>
      <patternFill patternType="solid">
        <fgColor rgb="FFFACAB1"/>
        <bgColor rgb="FFFACAB1"/>
      </patternFill>
    </fill>
    <fill>
      <patternFill patternType="solid">
        <fgColor rgb="FF98C8E0"/>
        <bgColor rgb="FF98C8E0"/>
      </patternFill>
    </fill>
    <fill>
      <patternFill patternType="solid">
        <fgColor rgb="FFFCE2D2"/>
        <bgColor rgb="FFFCE2D2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2" fontId="2" numFmtId="49" xfId="0" applyAlignment="1" applyBorder="1" applyFill="1" applyFont="1" applyNumberFormat="1">
      <alignment horizontal="center" readingOrder="0" shrinkToFit="0" vertical="top" wrapText="0"/>
    </xf>
    <xf borderId="2" fillId="0" fontId="1" numFmtId="49" xfId="0" applyAlignment="1" applyBorder="1" applyFont="1" applyNumberForma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1" numFmtId="0" xfId="0" applyAlignment="1" applyBorder="1" applyFont="1">
      <alignment horizontal="center" shrinkToFit="0" vertical="top" wrapText="0"/>
    </xf>
    <xf borderId="5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3" fontId="4" numFmtId="0" xfId="0" applyAlignment="1" applyBorder="1" applyFill="1" applyFont="1">
      <alignment shrinkToFit="0" vertical="center" wrapText="0"/>
    </xf>
    <xf borderId="5" fillId="0" fontId="4" numFmtId="0" xfId="0" applyAlignment="1" applyBorder="1" applyFont="1">
      <alignment horizontal="right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7" fillId="4" fontId="5" numFmtId="0" xfId="0" applyAlignment="1" applyBorder="1" applyFill="1" applyFont="1">
      <alignment horizontal="right" shrinkToFit="0" vertical="center" wrapText="0"/>
    </xf>
    <xf borderId="7" fillId="0" fontId="4" numFmtId="0" xfId="0" applyAlignment="1" applyBorder="1" applyFont="1">
      <alignment horizontal="right" shrinkToFit="0" vertical="bottom" wrapText="0"/>
    </xf>
    <xf borderId="7" fillId="0" fontId="4" numFmtId="0" xfId="0" applyAlignment="1" applyBorder="1" applyFont="1">
      <alignment horizontal="right" readingOrder="0" shrinkToFit="0" vertical="bottom" wrapText="0"/>
    </xf>
    <xf borderId="7" fillId="0" fontId="3" numFmtId="0" xfId="0" applyAlignment="1" applyBorder="1" applyFont="1">
      <alignment horizontal="right" readingOrder="0" shrinkToFit="0" vertical="center" wrapText="0"/>
    </xf>
    <xf borderId="8" fillId="0" fontId="3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horizontal="center" readingOrder="0" shrinkToFit="0" vertical="top" wrapText="0"/>
    </xf>
    <xf borderId="5" fillId="0" fontId="3" numFmtId="9" xfId="0" applyAlignment="1" applyBorder="1" applyFont="1" applyNumberFormat="1">
      <alignment horizontal="right" readingOrder="0" shrinkToFit="0" vertical="center" wrapText="0"/>
    </xf>
    <xf borderId="9" fillId="0" fontId="3" numFmtId="0" xfId="0" applyAlignment="1" applyBorder="1" applyFont="1">
      <alignment shrinkToFit="0" vertical="center" wrapText="0"/>
    </xf>
    <xf borderId="9" fillId="0" fontId="6" numFmtId="0" xfId="0" applyAlignment="1" applyBorder="1" applyFont="1">
      <alignment readingOrder="0" shrinkToFit="0" vertical="center" wrapText="0"/>
    </xf>
    <xf borderId="9" fillId="3" fontId="5" numFmtId="0" xfId="0" applyAlignment="1" applyBorder="1" applyFont="1">
      <alignment horizontal="right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horizontal="right" shrinkToFit="0" vertical="bottom" wrapText="0"/>
    </xf>
    <xf borderId="9" fillId="0" fontId="4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horizontal="right" readingOrder="0" shrinkToFit="0" vertical="center" wrapText="0"/>
    </xf>
    <xf borderId="10" fillId="0" fontId="3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 readingOrder="0" vertical="top"/>
    </xf>
    <xf borderId="0" fillId="0" fontId="3" numFmtId="0" xfId="0" applyFont="1"/>
    <xf borderId="0" fillId="0" fontId="3" numFmtId="0" xfId="0" applyAlignment="1" applyFont="1">
      <alignment readingOrder="0"/>
    </xf>
    <xf borderId="5" fillId="3" fontId="5" numFmtId="0" xfId="0" applyAlignment="1" applyBorder="1" applyFont="1">
      <alignment horizontal="right" shrinkToFit="0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3" numFmtId="9" xfId="0" applyAlignment="1" applyFont="1" applyNumberFormat="1">
      <alignment horizontal="right" readingOrder="0"/>
    </xf>
    <xf borderId="11" fillId="0" fontId="7" numFmtId="0" xfId="0" applyAlignment="1" applyBorder="1" applyFont="1">
      <alignment readingOrder="0" vertical="bottom"/>
    </xf>
    <xf borderId="11" fillId="0" fontId="7" numFmtId="3" xfId="0" applyAlignment="1" applyBorder="1" applyFont="1" applyNumberFormat="1">
      <alignment horizontal="right" readingOrder="0" vertical="bottom"/>
    </xf>
    <xf borderId="11" fillId="5" fontId="7" numFmtId="3" xfId="0" applyAlignment="1" applyBorder="1" applyFill="1" applyFont="1" applyNumberFormat="1">
      <alignment horizontal="right" readingOrder="0" vertical="bottom"/>
    </xf>
    <xf borderId="0" fillId="0" fontId="3" numFmtId="3" xfId="0" applyFont="1" applyNumberFormat="1"/>
    <xf borderId="11" fillId="5" fontId="7" numFmtId="0" xfId="0" applyAlignment="1" applyBorder="1" applyFont="1">
      <alignment readingOrder="0" vertical="bottom"/>
    </xf>
    <xf borderId="0" fillId="5" fontId="7" numFmtId="3" xfId="0" applyAlignment="1" applyFont="1" applyNumberFormat="1">
      <alignment horizontal="right" readingOrder="0" vertical="bottom"/>
    </xf>
    <xf borderId="0" fillId="0" fontId="7" numFmtId="3" xfId="0" applyAlignment="1" applyFont="1" applyNumberFormat="1">
      <alignment horizontal="right" readingOrder="0" vertical="bottom"/>
    </xf>
    <xf borderId="11" fillId="0" fontId="3" numFmtId="0" xfId="0" applyBorder="1" applyFont="1"/>
    <xf borderId="12" fillId="6" fontId="8" numFmtId="0" xfId="0" applyBorder="1" applyFill="1" applyFont="1"/>
    <xf borderId="12" fillId="7" fontId="8" numFmtId="0" xfId="0" applyBorder="1" applyFill="1" applyFont="1"/>
    <xf borderId="12" fillId="8" fontId="8" numFmtId="0" xfId="0" applyBorder="1" applyFill="1" applyFont="1"/>
    <xf borderId="12" fillId="9" fontId="8" numFmtId="0" xfId="0" applyBorder="1" applyFill="1" applyFont="1"/>
    <xf borderId="12" fillId="10" fontId="8" numFmtId="0" xfId="0" applyBorder="1" applyFill="1" applyFont="1"/>
    <xf borderId="12" fillId="11" fontId="8" numFmtId="0" xfId="0" applyBorder="1" applyFill="1" applyFont="1"/>
    <xf borderId="0" fillId="0" fontId="3" numFmtId="0" xfId="0" applyFont="1"/>
    <xf borderId="12" fillId="12" fontId="6" numFmtId="0" xfId="0" applyBorder="1" applyFill="1" applyFont="1"/>
    <xf borderId="12" fillId="13" fontId="6" numFmtId="0" xfId="0" applyBorder="1" applyFill="1" applyFont="1"/>
    <xf borderId="12" fillId="14" fontId="6" numFmtId="0" xfId="0" applyBorder="1" applyFill="1" applyFont="1"/>
    <xf borderId="12" fillId="15" fontId="8" numFmtId="0" xfId="0" applyBorder="1" applyFill="1" applyFont="1"/>
    <xf borderId="12" fillId="16" fontId="8" numFmtId="0" xfId="0" applyBorder="1" applyFill="1" applyFont="1"/>
    <xf borderId="12" fillId="17" fontId="6" numFmtId="0" xfId="0" applyBorder="1" applyFill="1" applyFont="1"/>
    <xf borderId="12" fillId="18" fontId="6" numFmtId="0" xfId="0" applyBorder="1" applyFill="1" applyFont="1"/>
    <xf borderId="12" fillId="19" fontId="6" numFmtId="0" xfId="0" applyBorder="1" applyFill="1" applyFont="1"/>
    <xf borderId="12" fillId="20" fontId="8" numFmtId="0" xfId="0" applyBorder="1" applyFill="1" applyFont="1"/>
    <xf borderId="12" fillId="21" fontId="6" numFmtId="0" xfId="0" applyBorder="1" applyFill="1" applyFont="1"/>
    <xf borderId="12" fillId="22" fontId="6" numFmtId="0" xfId="0" applyBorder="1" applyFill="1" applyFont="1"/>
    <xf borderId="12" fillId="23" fontId="6" numFmtId="0" xfId="0" applyBorder="1" applyFill="1" applyFont="1"/>
    <xf borderId="12" fillId="24" fontId="8" numFmtId="0" xfId="0" applyBorder="1" applyFill="1" applyFont="1"/>
    <xf borderId="12" fillId="25" fontId="6" numFmtId="0" xfId="0" applyBorder="1" applyFill="1" applyFont="1"/>
    <xf borderId="12" fillId="26" fontId="6" numFmtId="0" xfId="0" applyBorder="1" applyFill="1" applyFont="1"/>
    <xf borderId="12" fillId="27" fontId="6" numFmtId="0" xfId="0" applyBorder="1" applyFill="1" applyFont="1"/>
    <xf borderId="12" fillId="28" fontId="6" numFmtId="0" xfId="0" applyBorder="1" applyFill="1" applyFont="1"/>
    <xf borderId="12" fillId="29" fontId="6" numFmtId="0" xfId="0" applyBorder="1" applyFill="1" applyFont="1"/>
    <xf borderId="12" fillId="30" fontId="6" numFmtId="0" xfId="0" applyBorder="1" applyFill="1" applyFont="1"/>
    <xf borderId="12" fillId="31" fontId="6" numFmtId="0" xfId="0" applyBorder="1" applyFill="1" applyFont="1"/>
    <xf borderId="12" fillId="32" fontId="6" numFmtId="0" xfId="0" applyBorder="1" applyFill="1" applyFont="1"/>
    <xf borderId="12" fillId="33" fontId="8" numFmtId="0" xfId="0" applyBorder="1" applyFill="1" applyFont="1"/>
    <xf borderId="12" fillId="34" fontId="6" numFmtId="0" xfId="0" applyBorder="1" applyFill="1" applyFont="1"/>
    <xf borderId="12" fillId="35" fontId="8" numFmtId="0" xfId="0" applyBorder="1" applyFill="1" applyFont="1"/>
    <xf borderId="12" fillId="36" fontId="6" numFmtId="0" xfId="0" applyBorder="1" applyFill="1" applyFont="1"/>
    <xf borderId="12" fillId="37" fontId="8" numFmtId="0" xfId="0" applyBorder="1" applyFill="1" applyFont="1"/>
    <xf borderId="12" fillId="38" fontId="6" numFmtId="0" xfId="0" applyBorder="1" applyFill="1" applyFont="1"/>
    <xf borderId="12" fillId="39" fontId="6" numFmtId="0" xfId="0" applyBorder="1" applyFill="1" applyFont="1"/>
    <xf borderId="12" fillId="40" fontId="8" numFmtId="0" xfId="0" applyBorder="1" applyFill="1" applyFont="1"/>
    <xf borderId="12" fillId="41" fontId="6" numFmtId="0" xfId="0" applyBorder="1" applyFill="1" applyFont="1"/>
    <xf borderId="12" fillId="42" fontId="6" numFmtId="0" xfId="0" applyBorder="1" applyFill="1" applyFont="1"/>
    <xf borderId="12" fillId="43" fontId="6" numFmtId="0" xfId="0" applyBorder="1" applyFill="1" applyFont="1"/>
    <xf borderId="12" fillId="44" fontId="6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Raw-style">
      <tableStyleElement dxfId="1" type="headerRow"/>
      <tableStyleElement dxfId="2" type="firstRowStripe"/>
      <tableStyleElement dxfId="3" type="secondRowStripe"/>
    </tableStyle>
    <tableStyle count="2" pivot="0" name="Raw-style 2">
      <tableStyleElement dxfId="2" type="firstRowStripe"/>
      <tableStyleElement dxfId="3" type="secondRowStripe"/>
    </tableStyle>
    <tableStyle count="3" pivot="0" name="Raw-style 3">
      <tableStyleElement dxfId="1" type="headerRow"/>
      <tableStyleElement dxfId="2" type="firstRowStripe"/>
      <tableStyleElement dxfId="3" type="secondRowStripe"/>
    </tableStyle>
    <tableStyle count="2" pivot="0" name="Raw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8" displayName="Table1" name="Table1" id="1">
  <tableColumns count="15">
    <tableColumn name="Country" id="1"/>
    <tableColumn name="CurrentAcct_to_GDP_%" id="2"/>
    <tableColumn name="GovDebt_to_GDP" id="3"/>
    <tableColumn name="Fiscal_Deficit_to_GDP" id="4"/>
    <tableColumn name="Nominal_10y_Yield" id="5"/>
    <tableColumn name="Real_10y_Yield" id="6"/>
    <tableColumn name="Policy_Rate_%" id="7"/>
    <tableColumn name="FX_Reserves_to_GDP_%" id="8"/>
    <tableColumn name="NIIP/GDP_Change_10yr_Lookback" id="9"/>
    <tableColumn name="Exports_to_USA_as_%_of_GDP" id="10"/>
    <tableColumn name="ForOwn_%_MktCap" id="11"/>
    <tableColumn name="P_E_Pctile_20y_Lookback" id="12"/>
    <tableColumn name="Nasdaq_Corr_1y" id="13"/>
    <tableColumn name="Bond_Total_Score" id="14"/>
    <tableColumn name="Equity_Total_Score" id="15"/>
  </tableColumns>
  <tableStyleInfo name="Raw-style" showColumnStripes="0" showFirstColumn="1" showLastColumn="1" showRowStripes="1"/>
</table>
</file>

<file path=xl/tables/table2.xml><?xml version="1.0" encoding="utf-8"?>
<table xmlns="http://schemas.openxmlformats.org/spreadsheetml/2006/main" headerRowCount="0" ref="A26:C42" displayName="Table_1" name="Table_1" id="2">
  <tableColumns count="3">
    <tableColumn name="Column1" id="1"/>
    <tableColumn name="Column2" id="2"/>
    <tableColumn name="Column3" id="3"/>
  </tableColumns>
  <tableStyleInfo name="Raw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9:O49" displayName="Table2" name="Table2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Raw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0:O50" displayName="Table_2" name="Table_2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Raw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31.71"/>
    <col customWidth="1" min="3" max="3" width="25.86"/>
    <col customWidth="1" min="4" max="6" width="30.43"/>
    <col customWidth="1" min="7" max="7" width="23.43"/>
    <col customWidth="1" min="8" max="8" width="28.43"/>
    <col customWidth="1" min="9" max="10" width="38.86"/>
    <col customWidth="1" min="11" max="11" width="24.29"/>
    <col customWidth="1" min="12" max="12" width="32.86"/>
    <col customWidth="1" min="13" max="13" width="25.43"/>
    <col customWidth="1" min="14" max="14" width="26.86"/>
    <col customWidth="1" min="15" max="15" width="27.86"/>
    <col customWidth="1" min="1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</row>
    <row r="2">
      <c r="A2" s="6" t="s">
        <v>15</v>
      </c>
      <c r="B2" s="7">
        <v>0.99</v>
      </c>
      <c r="C2" s="8">
        <v>83.3</v>
      </c>
      <c r="D2" s="8">
        <v>-4.37</v>
      </c>
      <c r="E2" s="9"/>
      <c r="F2" s="9"/>
      <c r="G2" s="8">
        <v>29.0</v>
      </c>
      <c r="H2" s="8">
        <v>4.926666667</v>
      </c>
      <c r="I2" s="10">
        <v>14.0</v>
      </c>
      <c r="J2" s="11">
        <v>1.081666667</v>
      </c>
      <c r="L2" s="12" t="s">
        <v>16</v>
      </c>
      <c r="M2" s="7">
        <v>0.54</v>
      </c>
      <c r="N2" s="7">
        <v>-0.3</v>
      </c>
      <c r="O2" s="13">
        <v>0.54</v>
      </c>
    </row>
    <row r="3">
      <c r="A3" s="6" t="s">
        <v>17</v>
      </c>
      <c r="B3" s="14">
        <v>-2.81</v>
      </c>
      <c r="C3" s="14">
        <v>83.03</v>
      </c>
      <c r="D3" s="15">
        <v>-8.5</v>
      </c>
      <c r="E3" s="16">
        <v>14.15</v>
      </c>
      <c r="F3" s="16">
        <v>8.85</v>
      </c>
      <c r="G3" s="15">
        <v>15.0</v>
      </c>
      <c r="H3" s="15">
        <v>17.35421053</v>
      </c>
      <c r="I3" s="17">
        <v>-62.0</v>
      </c>
      <c r="J3" s="18">
        <v>2.073947368</v>
      </c>
      <c r="L3" s="19" t="s">
        <v>18</v>
      </c>
      <c r="M3" s="14">
        <v>0.38</v>
      </c>
      <c r="N3" s="14">
        <v>-0.32</v>
      </c>
      <c r="O3" s="20">
        <v>-0.03</v>
      </c>
    </row>
    <row r="4">
      <c r="A4" s="6" t="s">
        <v>19</v>
      </c>
      <c r="B4" s="8">
        <v>-1.0</v>
      </c>
      <c r="C4" s="8">
        <v>110.8</v>
      </c>
      <c r="D4" s="8">
        <v>-2.1</v>
      </c>
      <c r="E4" s="21">
        <v>3.6</v>
      </c>
      <c r="F4" s="21">
        <v>1.7</v>
      </c>
      <c r="G4" s="8">
        <v>2.75</v>
      </c>
      <c r="H4" s="8">
        <v>5.758653846</v>
      </c>
      <c r="I4" s="10">
        <v>569.0</v>
      </c>
      <c r="J4" s="11">
        <v>20.99759615</v>
      </c>
      <c r="L4" s="12" t="s">
        <v>20</v>
      </c>
      <c r="M4" s="7">
        <v>0.8</v>
      </c>
      <c r="N4" s="7">
        <v>-0.28</v>
      </c>
      <c r="O4" s="13">
        <v>1.45</v>
      </c>
    </row>
    <row r="5">
      <c r="A5" s="22" t="s">
        <v>21</v>
      </c>
      <c r="B5" s="15">
        <v>2.2</v>
      </c>
      <c r="C5" s="15">
        <v>88.3</v>
      </c>
      <c r="D5" s="15">
        <v>-5.8</v>
      </c>
      <c r="E5" s="16">
        <v>1.66</v>
      </c>
      <c r="F5" s="16">
        <v>1.56</v>
      </c>
      <c r="G5" s="15">
        <v>3.0</v>
      </c>
      <c r="H5" s="15">
        <v>18.43</v>
      </c>
      <c r="I5" s="17">
        <v>28.0</v>
      </c>
      <c r="J5" s="18">
        <v>2.912761111</v>
      </c>
      <c r="L5" s="19" t="s">
        <v>22</v>
      </c>
      <c r="M5" s="14"/>
      <c r="N5" s="14"/>
      <c r="O5" s="20"/>
    </row>
    <row r="6">
      <c r="A6" s="6" t="s">
        <v>23</v>
      </c>
      <c r="B6" s="7">
        <v>-1.47</v>
      </c>
      <c r="C6" s="8">
        <v>41.7</v>
      </c>
      <c r="D6" s="8">
        <v>-2.8</v>
      </c>
      <c r="E6" s="21">
        <v>5.6</v>
      </c>
      <c r="F6" s="21">
        <v>1.5</v>
      </c>
      <c r="G6" s="8">
        <v>5.0</v>
      </c>
      <c r="H6" s="8">
        <v>13.875</v>
      </c>
      <c r="I6" s="10">
        <v>-101.0</v>
      </c>
      <c r="J6" s="11">
        <v>4.7953125</v>
      </c>
      <c r="L6" s="12" t="s">
        <v>24</v>
      </c>
      <c r="M6" s="7">
        <v>0.54</v>
      </c>
      <c r="N6" s="7">
        <v>-0.88</v>
      </c>
      <c r="O6" s="13">
        <v>0.53</v>
      </c>
    </row>
    <row r="7">
      <c r="A7" s="6" t="s">
        <v>25</v>
      </c>
      <c r="B7" s="14">
        <v>-1.77</v>
      </c>
      <c r="C7" s="15">
        <v>61.3</v>
      </c>
      <c r="D7" s="15">
        <v>-5.8</v>
      </c>
      <c r="E7" s="16">
        <v>11.8</v>
      </c>
      <c r="F7" s="16">
        <v>7.0</v>
      </c>
      <c r="G7" s="15">
        <v>9.25</v>
      </c>
      <c r="H7" s="15">
        <v>18.5</v>
      </c>
      <c r="I7" s="17">
        <v>-82.0</v>
      </c>
      <c r="J7" s="18">
        <v>4.397647059</v>
      </c>
      <c r="L7" s="19" t="s">
        <v>26</v>
      </c>
      <c r="M7" s="14">
        <v>0.55</v>
      </c>
      <c r="N7" s="14">
        <v>-0.53</v>
      </c>
      <c r="O7" s="20">
        <v>0.58</v>
      </c>
    </row>
    <row r="8">
      <c r="A8" s="6" t="s">
        <v>27</v>
      </c>
      <c r="B8" s="7">
        <v>5.73</v>
      </c>
      <c r="C8" s="8">
        <v>87.4</v>
      </c>
      <c r="D8" s="8">
        <v>-3.1</v>
      </c>
      <c r="E8" s="21">
        <v>2.52</v>
      </c>
      <c r="F8" s="21">
        <v>-0.08</v>
      </c>
      <c r="G8" s="8">
        <v>2.15</v>
      </c>
      <c r="H8" s="8">
        <v>9.4485</v>
      </c>
      <c r="I8" s="10">
        <v>283.0</v>
      </c>
      <c r="J8" s="11">
        <v>4.368225</v>
      </c>
      <c r="L8" s="12" t="s">
        <v>20</v>
      </c>
      <c r="M8" s="7">
        <v>0.23</v>
      </c>
      <c r="N8" s="7">
        <v>0.28</v>
      </c>
      <c r="O8" s="13">
        <v>-0.58</v>
      </c>
    </row>
    <row r="9">
      <c r="A9" s="6" t="s">
        <v>28</v>
      </c>
      <c r="B9" s="14">
        <v>-2.65</v>
      </c>
      <c r="C9" s="14">
        <v>138.64</v>
      </c>
      <c r="D9" s="15">
        <v>-4.8</v>
      </c>
      <c r="E9" s="16">
        <v>4.52</v>
      </c>
      <c r="F9" s="16">
        <v>1.16</v>
      </c>
      <c r="G9" s="15">
        <v>4.25</v>
      </c>
      <c r="H9" s="15">
        <v>6.590909091</v>
      </c>
      <c r="I9" s="17">
        <v>-74.0</v>
      </c>
      <c r="J9" s="18">
        <v>2.377402597</v>
      </c>
      <c r="L9" s="19" t="s">
        <v>20</v>
      </c>
      <c r="M9" s="14">
        <v>0.13</v>
      </c>
      <c r="N9" s="14">
        <v>0.08</v>
      </c>
      <c r="O9" s="20">
        <v>-0.91</v>
      </c>
    </row>
    <row r="10">
      <c r="A10" s="6" t="s">
        <v>29</v>
      </c>
      <c r="B10" s="7">
        <v>-0.83</v>
      </c>
      <c r="C10" s="8">
        <v>81.59</v>
      </c>
      <c r="D10" s="8">
        <v>-4.8</v>
      </c>
      <c r="E10" s="21">
        <v>6.3</v>
      </c>
      <c r="F10" s="21">
        <v>4.2</v>
      </c>
      <c r="G10" s="8">
        <v>5.5</v>
      </c>
      <c r="H10" s="8">
        <v>18.91294118</v>
      </c>
      <c r="I10" s="10">
        <v>45.0</v>
      </c>
      <c r="J10" s="11">
        <v>2.372823529</v>
      </c>
      <c r="L10" s="12" t="s">
        <v>30</v>
      </c>
      <c r="M10" s="7">
        <v>0.13</v>
      </c>
      <c r="N10" s="7">
        <v>0.0</v>
      </c>
      <c r="O10" s="13">
        <v>-0.91</v>
      </c>
    </row>
    <row r="11">
      <c r="A11" s="6" t="s">
        <v>31</v>
      </c>
      <c r="B11" s="14">
        <v>4.82</v>
      </c>
      <c r="C11" s="14">
        <v>215.91</v>
      </c>
      <c r="D11" s="15">
        <v>-5.5</v>
      </c>
      <c r="E11" s="16">
        <v>1.42</v>
      </c>
      <c r="F11" s="16">
        <v>-1.65</v>
      </c>
      <c r="G11" s="15">
        <v>0.5</v>
      </c>
      <c r="H11" s="15">
        <v>30.76675</v>
      </c>
      <c r="I11" s="17">
        <v>68.0</v>
      </c>
      <c r="J11" s="18">
        <v>3.5425</v>
      </c>
      <c r="L11" s="19" t="s">
        <v>32</v>
      </c>
      <c r="M11" s="14">
        <v>0.06</v>
      </c>
      <c r="N11" s="14">
        <v>0.87</v>
      </c>
      <c r="O11" s="20">
        <v>-1.16</v>
      </c>
    </row>
    <row r="12">
      <c r="A12" s="6" t="s">
        <v>33</v>
      </c>
      <c r="B12" s="7">
        <v>1.92</v>
      </c>
      <c r="C12" s="7">
        <v>52.3</v>
      </c>
      <c r="D12" s="8">
        <v>-3.9</v>
      </c>
      <c r="E12" s="21">
        <v>2.84</v>
      </c>
      <c r="F12" s="21">
        <v>0.45</v>
      </c>
      <c r="G12" s="8">
        <v>2.5</v>
      </c>
      <c r="H12" s="8">
        <v>24.60117647</v>
      </c>
      <c r="I12" s="10">
        <v>965.0</v>
      </c>
      <c r="J12" s="11">
        <v>7.464588235</v>
      </c>
      <c r="L12" s="23">
        <v>0.87</v>
      </c>
      <c r="M12" s="7">
        <v>0.08</v>
      </c>
      <c r="N12" s="7">
        <v>-0.36</v>
      </c>
      <c r="O12" s="13">
        <v>-1.1</v>
      </c>
    </row>
    <row r="13">
      <c r="A13" s="6" t="s">
        <v>34</v>
      </c>
      <c r="B13" s="15">
        <v>-0.8</v>
      </c>
      <c r="C13" s="14">
        <v>45.14</v>
      </c>
      <c r="D13" s="15">
        <v>-5.7</v>
      </c>
      <c r="E13" s="16">
        <v>9.39</v>
      </c>
      <c r="F13" s="16">
        <v>5.71</v>
      </c>
      <c r="G13" s="15">
        <v>8.0</v>
      </c>
      <c r="H13" s="15">
        <v>15.46933333</v>
      </c>
      <c r="I13" s="17">
        <v>6.9</v>
      </c>
      <c r="J13" s="18">
        <v>34.36226667</v>
      </c>
      <c r="L13" s="19" t="s">
        <v>35</v>
      </c>
      <c r="M13" s="14">
        <v>0.44</v>
      </c>
      <c r="N13" s="14">
        <v>0.42</v>
      </c>
      <c r="O13" s="20">
        <v>0.18</v>
      </c>
    </row>
    <row r="14">
      <c r="A14" s="6" t="s">
        <v>36</v>
      </c>
      <c r="B14" s="7">
        <v>1.69</v>
      </c>
      <c r="C14" s="7">
        <v>64.32</v>
      </c>
      <c r="D14" s="8">
        <v>-4.1</v>
      </c>
      <c r="E14" s="21">
        <v>3.5</v>
      </c>
      <c r="F14" s="21">
        <v>2.2</v>
      </c>
      <c r="G14" s="8">
        <v>2.75</v>
      </c>
      <c r="H14" s="8">
        <v>28.4877451</v>
      </c>
      <c r="I14" s="10" t="s">
        <v>37</v>
      </c>
      <c r="J14" s="11">
        <v>10.94607843</v>
      </c>
      <c r="L14" s="12" t="s">
        <v>38</v>
      </c>
      <c r="M14" s="7">
        <v>-0.04</v>
      </c>
      <c r="N14" s="7">
        <v>-0.09</v>
      </c>
      <c r="O14" s="13">
        <v>-1.52</v>
      </c>
    </row>
    <row r="15">
      <c r="A15" s="6" t="s">
        <v>39</v>
      </c>
      <c r="B15" s="14">
        <v>2.21</v>
      </c>
      <c r="C15" s="14">
        <v>35.25</v>
      </c>
      <c r="D15" s="15">
        <v>-3.2</v>
      </c>
      <c r="E15" s="16">
        <v>6.1</v>
      </c>
      <c r="F15" s="16">
        <v>4.4</v>
      </c>
      <c r="G15" s="15">
        <v>4.5</v>
      </c>
      <c r="H15" s="15">
        <v>28.30357143</v>
      </c>
      <c r="I15" s="17">
        <v>-19.0</v>
      </c>
      <c r="J15" s="18">
        <v>3.385714286</v>
      </c>
      <c r="L15" s="19" t="s">
        <v>40</v>
      </c>
      <c r="M15" s="14">
        <v>0.58</v>
      </c>
      <c r="N15" s="14">
        <v>-0.25</v>
      </c>
      <c r="O15" s="20">
        <v>0.68</v>
      </c>
    </row>
    <row r="16">
      <c r="A16" s="6" t="s">
        <v>41</v>
      </c>
      <c r="B16" s="7">
        <v>2.11</v>
      </c>
      <c r="C16" s="7">
        <v>61.12</v>
      </c>
      <c r="D16" s="8">
        <v>-2.2</v>
      </c>
      <c r="E16" s="21">
        <v>1.5</v>
      </c>
      <c r="F16" s="21">
        <v>1.75</v>
      </c>
      <c r="G16" s="8">
        <v>1.75</v>
      </c>
      <c r="H16" s="8">
        <v>45.56346154</v>
      </c>
      <c r="I16" s="10">
        <v>151.0</v>
      </c>
      <c r="J16" s="11">
        <v>0.0</v>
      </c>
      <c r="L16" s="12" t="s">
        <v>42</v>
      </c>
      <c r="M16" s="7">
        <v>0.53</v>
      </c>
      <c r="N16" s="7">
        <v>0.06</v>
      </c>
      <c r="O16" s="13">
        <v>0.49</v>
      </c>
    </row>
    <row r="17">
      <c r="A17" s="6" t="s">
        <v>43</v>
      </c>
      <c r="B17" s="14">
        <v>-0.75</v>
      </c>
      <c r="C17" s="14">
        <v>33.11</v>
      </c>
      <c r="D17" s="15">
        <v>-4.9</v>
      </c>
      <c r="E17" s="16">
        <v>32.04</v>
      </c>
      <c r="F17" s="16">
        <v>-3.01</v>
      </c>
      <c r="G17" s="15">
        <v>46.0</v>
      </c>
      <c r="H17" s="15">
        <v>9.693877551</v>
      </c>
      <c r="I17" s="17">
        <v>31.0</v>
      </c>
      <c r="J17" s="18">
        <v>1.684591837</v>
      </c>
      <c r="L17" s="19" t="s">
        <v>44</v>
      </c>
      <c r="M17" s="14">
        <v>0.3</v>
      </c>
      <c r="N17" s="14">
        <v>-0.55</v>
      </c>
      <c r="O17" s="20">
        <v>-0.32</v>
      </c>
    </row>
    <row r="18">
      <c r="A18" s="6" t="s">
        <v>45</v>
      </c>
      <c r="B18" s="24">
        <v>-3.88</v>
      </c>
      <c r="C18" s="24">
        <v>114.76</v>
      </c>
      <c r="D18" s="25">
        <v>-6.2</v>
      </c>
      <c r="E18" s="26">
        <v>4.38</v>
      </c>
      <c r="F18" s="26">
        <v>1.44</v>
      </c>
      <c r="G18" s="27">
        <v>4.5</v>
      </c>
      <c r="H18" s="27">
        <v>0.1538461538</v>
      </c>
      <c r="I18" s="28">
        <v>-169.0</v>
      </c>
      <c r="J18" s="29">
        <v>0.0</v>
      </c>
      <c r="L18" s="30" t="s">
        <v>46</v>
      </c>
      <c r="M18" s="24">
        <v>0.97</v>
      </c>
      <c r="N18" s="24">
        <v>0.41</v>
      </c>
      <c r="O18" s="31">
        <v>2.07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32" t="s">
        <v>15</v>
      </c>
      <c r="B26" s="32" t="s">
        <v>15</v>
      </c>
      <c r="C26" s="33" t="s">
        <v>16</v>
      </c>
    </row>
    <row r="27" ht="15.75" customHeight="1">
      <c r="A27" s="32" t="s">
        <v>17</v>
      </c>
      <c r="B27" s="32" t="s">
        <v>17</v>
      </c>
      <c r="C27" s="33" t="s">
        <v>18</v>
      </c>
    </row>
    <row r="28" ht="15.75" customHeight="1">
      <c r="A28" s="32" t="s">
        <v>19</v>
      </c>
      <c r="B28" s="32" t="s">
        <v>19</v>
      </c>
      <c r="C28" s="33" t="s">
        <v>20</v>
      </c>
    </row>
    <row r="29" ht="15.75" customHeight="1">
      <c r="A29" s="34" t="s">
        <v>21</v>
      </c>
      <c r="B29" s="34" t="s">
        <v>21</v>
      </c>
      <c r="C29" s="33" t="s">
        <v>22</v>
      </c>
    </row>
    <row r="30" ht="15.75" customHeight="1">
      <c r="A30" s="32" t="s">
        <v>23</v>
      </c>
      <c r="B30" s="32" t="s">
        <v>23</v>
      </c>
      <c r="C30" s="33" t="s">
        <v>24</v>
      </c>
    </row>
    <row r="31" ht="15.75" customHeight="1">
      <c r="A31" s="32" t="s">
        <v>25</v>
      </c>
      <c r="B31" s="32" t="s">
        <v>25</v>
      </c>
      <c r="C31" s="33" t="s">
        <v>26</v>
      </c>
    </row>
    <row r="32" ht="15.75" customHeight="1">
      <c r="A32" s="32" t="s">
        <v>27</v>
      </c>
      <c r="B32" s="32" t="s">
        <v>27</v>
      </c>
      <c r="C32" s="33" t="s">
        <v>20</v>
      </c>
    </row>
    <row r="33" ht="15.75" customHeight="1">
      <c r="A33" s="32" t="s">
        <v>28</v>
      </c>
      <c r="B33" s="32" t="s">
        <v>28</v>
      </c>
      <c r="C33" s="33" t="s">
        <v>20</v>
      </c>
    </row>
    <row r="34" ht="15.75" customHeight="1">
      <c r="A34" s="32" t="s">
        <v>29</v>
      </c>
      <c r="B34" s="32" t="s">
        <v>29</v>
      </c>
      <c r="C34" s="33" t="s">
        <v>30</v>
      </c>
    </row>
    <row r="35" ht="15.75" customHeight="1">
      <c r="A35" s="32" t="s">
        <v>31</v>
      </c>
      <c r="B35" s="32" t="s">
        <v>31</v>
      </c>
      <c r="C35" s="33" t="s">
        <v>32</v>
      </c>
    </row>
    <row r="36" ht="15.75" customHeight="1">
      <c r="A36" s="32" t="s">
        <v>33</v>
      </c>
      <c r="B36" s="32" t="s">
        <v>33</v>
      </c>
      <c r="C36" s="33" t="s">
        <v>47</v>
      </c>
    </row>
    <row r="37" ht="15.75" customHeight="1">
      <c r="A37" s="32" t="s">
        <v>34</v>
      </c>
      <c r="B37" s="32" t="s">
        <v>34</v>
      </c>
      <c r="C37" s="33" t="s">
        <v>35</v>
      </c>
    </row>
    <row r="38" ht="15.75" customHeight="1">
      <c r="A38" s="32" t="s">
        <v>36</v>
      </c>
      <c r="B38" s="32" t="s">
        <v>36</v>
      </c>
      <c r="C38" s="33" t="s">
        <v>38</v>
      </c>
    </row>
    <row r="39" ht="15.75" customHeight="1">
      <c r="A39" s="32" t="s">
        <v>39</v>
      </c>
      <c r="B39" s="32" t="s">
        <v>39</v>
      </c>
      <c r="C39" s="33" t="s">
        <v>40</v>
      </c>
    </row>
    <row r="40" ht="15.75" customHeight="1">
      <c r="A40" s="32" t="s">
        <v>41</v>
      </c>
      <c r="B40" s="32" t="s">
        <v>41</v>
      </c>
      <c r="C40" s="33" t="s">
        <v>42</v>
      </c>
    </row>
    <row r="41" ht="15.75" customHeight="1">
      <c r="A41" s="32" t="s">
        <v>43</v>
      </c>
      <c r="B41" s="32" t="s">
        <v>43</v>
      </c>
      <c r="C41" s="33" t="s">
        <v>44</v>
      </c>
    </row>
    <row r="42" ht="15.75" customHeight="1">
      <c r="A42" s="32" t="s">
        <v>45</v>
      </c>
      <c r="B42" s="32" t="s">
        <v>45</v>
      </c>
      <c r="C42" s="33" t="s">
        <v>46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A49" s="1" t="s">
        <v>0</v>
      </c>
      <c r="B49" s="2" t="s">
        <v>1</v>
      </c>
      <c r="C49" s="2" t="s">
        <v>2</v>
      </c>
      <c r="D49" s="2" t="s">
        <v>3</v>
      </c>
      <c r="E49" s="3" t="s">
        <v>4</v>
      </c>
      <c r="F49" s="3" t="s">
        <v>5</v>
      </c>
      <c r="G49" s="2" t="s">
        <v>6</v>
      </c>
      <c r="H49" s="4" t="s">
        <v>7</v>
      </c>
      <c r="I49" s="4" t="s">
        <v>8</v>
      </c>
      <c r="J49" s="4" t="s">
        <v>9</v>
      </c>
      <c r="K49" s="2" t="s">
        <v>10</v>
      </c>
      <c r="L49" s="2" t="s">
        <v>11</v>
      </c>
      <c r="M49" s="2" t="s">
        <v>12</v>
      </c>
      <c r="N49" s="2" t="s">
        <v>13</v>
      </c>
      <c r="O49" s="5" t="s">
        <v>14</v>
      </c>
    </row>
    <row r="50" ht="15.75" customHeight="1">
      <c r="A50" s="32" t="s">
        <v>33</v>
      </c>
      <c r="B50" s="35">
        <v>1.92</v>
      </c>
      <c r="C50" s="35">
        <v>52.3</v>
      </c>
      <c r="D50" s="36">
        <v>-3.9</v>
      </c>
      <c r="E50" s="37">
        <v>2.84</v>
      </c>
      <c r="F50" s="37">
        <v>0.45</v>
      </c>
      <c r="G50" s="36">
        <v>2.5</v>
      </c>
      <c r="H50" s="36">
        <v>24.60117647</v>
      </c>
      <c r="I50" s="38">
        <v>965.0</v>
      </c>
      <c r="J50" s="39">
        <v>7.464588235</v>
      </c>
      <c r="L50" s="40">
        <v>0.87</v>
      </c>
      <c r="M50" s="35">
        <v>0.08</v>
      </c>
      <c r="N50" s="35">
        <v>-0.36</v>
      </c>
      <c r="O50" s="35">
        <v>-1.1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D18 G2:G18 M2:O18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1" t="s">
        <v>48</v>
      </c>
      <c r="B1" s="42">
        <v>143546.0</v>
      </c>
      <c r="C1" s="43">
        <v>438947.0</v>
      </c>
      <c r="D1" s="44">
        <f t="shared" ref="D1:D16" si="1">B1-C1</f>
        <v>-295401</v>
      </c>
    </row>
    <row r="2">
      <c r="A2" s="45" t="s">
        <v>49</v>
      </c>
      <c r="B2" s="43">
        <v>334041.0</v>
      </c>
      <c r="C2" s="42">
        <v>505851.0</v>
      </c>
      <c r="D2" s="44">
        <f t="shared" si="1"/>
        <v>-171810</v>
      </c>
    </row>
    <row r="3">
      <c r="A3" s="45" t="s">
        <v>50</v>
      </c>
      <c r="B3" s="43">
        <v>555860.0</v>
      </c>
      <c r="C3" s="43">
        <v>695065.0</v>
      </c>
      <c r="D3" s="44">
        <f t="shared" si="1"/>
        <v>-139205</v>
      </c>
    </row>
    <row r="4">
      <c r="A4" s="41" t="s">
        <v>51</v>
      </c>
      <c r="B4" s="42">
        <v>75613.0</v>
      </c>
      <c r="C4" s="46">
        <v>160437.0</v>
      </c>
      <c r="D4" s="44">
        <f t="shared" si="1"/>
        <v>-84824</v>
      </c>
    </row>
    <row r="5">
      <c r="A5" s="45" t="s">
        <v>52</v>
      </c>
      <c r="B5" s="43">
        <v>42337.0</v>
      </c>
      <c r="C5" s="43">
        <v>116264.0</v>
      </c>
      <c r="D5" s="44">
        <f t="shared" si="1"/>
        <v>-73927</v>
      </c>
    </row>
    <row r="6">
      <c r="A6" s="45" t="s">
        <v>53</v>
      </c>
      <c r="B6" s="43">
        <v>79741.0</v>
      </c>
      <c r="C6" s="42">
        <v>148209.0</v>
      </c>
      <c r="D6" s="44">
        <f t="shared" si="1"/>
        <v>-68468</v>
      </c>
    </row>
    <row r="7">
      <c r="A7" s="45" t="s">
        <v>54</v>
      </c>
      <c r="B7" s="43">
        <v>65542.0</v>
      </c>
      <c r="C7" s="42">
        <v>131549.0</v>
      </c>
      <c r="D7" s="44">
        <f t="shared" si="1"/>
        <v>-66007</v>
      </c>
    </row>
    <row r="8">
      <c r="A8" s="41" t="s">
        <v>55</v>
      </c>
      <c r="B8" s="42">
        <v>348503.0</v>
      </c>
      <c r="C8" s="42">
        <v>412696.0</v>
      </c>
      <c r="D8" s="44">
        <f t="shared" si="1"/>
        <v>-64193</v>
      </c>
    </row>
    <row r="9">
      <c r="A9" s="41" t="s">
        <v>56</v>
      </c>
      <c r="B9" s="42">
        <v>41753.0</v>
      </c>
      <c r="C9" s="46">
        <v>87416.0</v>
      </c>
      <c r="D9" s="44">
        <f t="shared" si="1"/>
        <v>-45663</v>
      </c>
    </row>
    <row r="10">
      <c r="A10" s="41" t="s">
        <v>57</v>
      </c>
      <c r="B10" s="42">
        <v>43520.0</v>
      </c>
      <c r="C10" s="47">
        <v>59903.0</v>
      </c>
      <c r="D10" s="44">
        <f t="shared" si="1"/>
        <v>-16383</v>
      </c>
    </row>
    <row r="11">
      <c r="A11" s="41" t="s">
        <v>58</v>
      </c>
      <c r="B11" s="42">
        <v>79941.0</v>
      </c>
      <c r="C11" s="43">
        <v>68084.0</v>
      </c>
      <c r="D11" s="44">
        <f t="shared" si="1"/>
        <v>11857</v>
      </c>
    </row>
    <row r="12">
      <c r="A12" s="41" t="s">
        <v>59</v>
      </c>
      <c r="B12" s="42">
        <v>34178.0</v>
      </c>
      <c r="C12" s="48"/>
      <c r="D12" s="44">
        <f t="shared" si="1"/>
        <v>34178</v>
      </c>
    </row>
    <row r="13">
      <c r="A13" s="45" t="s">
        <v>60</v>
      </c>
      <c r="B13" s="43">
        <v>34593.0</v>
      </c>
      <c r="C13" s="48"/>
      <c r="D13" s="44">
        <f t="shared" si="1"/>
        <v>34593</v>
      </c>
    </row>
    <row r="14">
      <c r="A14" s="45" t="s">
        <v>61</v>
      </c>
      <c r="B14" s="43">
        <v>46033.0</v>
      </c>
      <c r="D14" s="44">
        <f t="shared" si="1"/>
        <v>46033</v>
      </c>
    </row>
    <row r="15">
      <c r="A15" s="41" t="s">
        <v>62</v>
      </c>
      <c r="B15" s="42">
        <v>49667.0</v>
      </c>
      <c r="D15" s="44">
        <f t="shared" si="1"/>
        <v>49667</v>
      </c>
    </row>
    <row r="16">
      <c r="A16" s="45" t="s">
        <v>63</v>
      </c>
      <c r="B16" s="43">
        <v>89649.0</v>
      </c>
      <c r="C16" s="48"/>
      <c r="D16" s="44">
        <f t="shared" si="1"/>
        <v>89649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6</v>
      </c>
      <c r="F1" s="32" t="s">
        <v>64</v>
      </c>
      <c r="G1" s="32" t="s">
        <v>4</v>
      </c>
      <c r="H1" s="32" t="s">
        <v>5</v>
      </c>
      <c r="I1" s="32" t="s">
        <v>65</v>
      </c>
      <c r="J1" s="32" t="s">
        <v>66</v>
      </c>
      <c r="K1" s="32" t="s">
        <v>10</v>
      </c>
      <c r="L1" s="32" t="s">
        <v>67</v>
      </c>
      <c r="M1" s="32" t="s">
        <v>12</v>
      </c>
      <c r="N1" s="32" t="s">
        <v>13</v>
      </c>
      <c r="O1" s="32" t="s">
        <v>14</v>
      </c>
    </row>
    <row r="2">
      <c r="A2" s="32" t="s">
        <v>45</v>
      </c>
      <c r="B2" s="49">
        <v>-3.88426682437385</v>
      </c>
      <c r="C2" s="50">
        <v>114.755553330184</v>
      </c>
      <c r="D2" s="51"/>
      <c r="E2" s="51"/>
      <c r="F2" s="50">
        <v>910.0365466515</v>
      </c>
      <c r="G2" s="50">
        <v>4.38</v>
      </c>
      <c r="H2" s="52">
        <v>1.440474795147929</v>
      </c>
      <c r="I2" s="51"/>
      <c r="J2" s="53">
        <v>0.8985081928982971</v>
      </c>
      <c r="K2" s="51"/>
      <c r="L2" s="51"/>
      <c r="M2" s="54">
        <v>0.9705165842849558</v>
      </c>
      <c r="N2" s="55">
        <v>0.4125380440795015</v>
      </c>
      <c r="O2" s="55">
        <v>2.074812845554827</v>
      </c>
    </row>
    <row r="3">
      <c r="A3" s="32" t="s">
        <v>27</v>
      </c>
      <c r="B3" s="50">
        <v>5.73091235034847</v>
      </c>
      <c r="C3" s="51"/>
      <c r="D3" s="51"/>
      <c r="E3" s="51"/>
      <c r="F3" s="50">
        <v>377.935574356242</v>
      </c>
      <c r="G3" s="50">
        <v>2.517</v>
      </c>
      <c r="H3" s="56">
        <v>-0.07760925449871031</v>
      </c>
      <c r="I3" s="51"/>
      <c r="J3" s="57">
        <v>0.6134017670910643</v>
      </c>
      <c r="K3" s="51"/>
      <c r="L3" s="51"/>
      <c r="M3" s="58">
        <v>0.2258734803119772</v>
      </c>
      <c r="N3" s="55">
        <v>0.2801840956505633</v>
      </c>
      <c r="O3" s="55">
        <v>-0.5825307496137019</v>
      </c>
    </row>
    <row r="4">
      <c r="A4" s="32" t="s">
        <v>31</v>
      </c>
      <c r="B4" s="50">
        <v>4.82480926257698</v>
      </c>
      <c r="C4" s="50">
        <v>215.90635961078</v>
      </c>
      <c r="D4" s="51"/>
      <c r="E4" s="51"/>
      <c r="F4" s="50">
        <v>1230.66697904245</v>
      </c>
      <c r="G4" s="59">
        <v>1.42</v>
      </c>
      <c r="H4" s="60">
        <v>-1.64853681635241</v>
      </c>
      <c r="I4" s="51"/>
      <c r="J4" s="61">
        <v>0.6332601918471711</v>
      </c>
      <c r="K4" s="51"/>
      <c r="L4" s="51"/>
      <c r="M4" s="62">
        <v>0.0648941250869435</v>
      </c>
      <c r="N4" s="55">
        <v>0.8739376776798075</v>
      </c>
      <c r="O4" s="55">
        <v>-1.157003884836782</v>
      </c>
    </row>
    <row r="5">
      <c r="A5" s="32" t="s">
        <v>17</v>
      </c>
      <c r="B5" s="49">
        <v>-2.80783369862457</v>
      </c>
      <c r="C5" s="50">
        <v>83.0317498523878</v>
      </c>
      <c r="D5" s="51"/>
      <c r="E5" s="51"/>
      <c r="F5" s="50">
        <v>329.732443813378</v>
      </c>
      <c r="G5" s="51"/>
      <c r="H5" s="51"/>
      <c r="I5" s="51"/>
      <c r="J5" s="51"/>
      <c r="K5" s="51"/>
      <c r="L5" s="51"/>
      <c r="M5" s="63">
        <v>0.3796712537738572</v>
      </c>
      <c r="N5" s="55">
        <v>-0.3180504482626171</v>
      </c>
      <c r="O5" s="55">
        <v>-0.03368590558095864</v>
      </c>
    </row>
    <row r="6">
      <c r="A6" s="32" t="s">
        <v>33</v>
      </c>
      <c r="B6" s="64">
        <v>1.91626791993389</v>
      </c>
      <c r="C6" s="50">
        <v>52.2965549034288</v>
      </c>
      <c r="D6" s="51"/>
      <c r="E6" s="51"/>
      <c r="F6" s="50">
        <v>418.218648901669</v>
      </c>
      <c r="G6" s="50">
        <v>2.842</v>
      </c>
      <c r="H6" s="65">
        <v>0.4492567135645803</v>
      </c>
      <c r="I6" s="51"/>
      <c r="J6" s="66">
        <v>-0.08385951595677855</v>
      </c>
      <c r="K6" s="51"/>
      <c r="L6" s="51"/>
      <c r="M6" s="67">
        <v>0.08143949569619725</v>
      </c>
      <c r="N6" s="55">
        <v>-0.362650967120266</v>
      </c>
      <c r="O6" s="55">
        <v>-1.097959848326393</v>
      </c>
    </row>
    <row r="7">
      <c r="A7" s="32" t="s">
        <v>28</v>
      </c>
      <c r="B7" s="49">
        <v>-2.65199665914344</v>
      </c>
      <c r="C7" s="50">
        <v>138.644282850488</v>
      </c>
      <c r="D7" s="51"/>
      <c r="E7" s="51"/>
      <c r="F7" s="50">
        <v>174.597843325182</v>
      </c>
      <c r="G7" s="50">
        <v>4.5248</v>
      </c>
      <c r="H7" s="68">
        <v>1.1629270536408</v>
      </c>
      <c r="I7" s="51"/>
      <c r="J7" s="69">
        <v>0.6867754141286709</v>
      </c>
      <c r="K7" s="51"/>
      <c r="L7" s="51"/>
      <c r="M7" s="70">
        <v>0.1348665099341103</v>
      </c>
      <c r="N7" s="55">
        <v>0.08019895520530068</v>
      </c>
      <c r="O7" s="55">
        <v>-0.907299472454238</v>
      </c>
    </row>
    <row r="8">
      <c r="A8" s="32" t="s">
        <v>19</v>
      </c>
      <c r="B8" s="71">
        <v>-0.461744367419551</v>
      </c>
      <c r="C8" s="50">
        <v>61.3446678551099</v>
      </c>
      <c r="D8" s="51"/>
      <c r="E8" s="51"/>
      <c r="F8" s="50">
        <v>119.778473396958</v>
      </c>
      <c r="G8" s="50">
        <v>3.312380952380951</v>
      </c>
      <c r="H8" s="72">
        <v>0.7799161671882705</v>
      </c>
      <c r="I8" s="51"/>
      <c r="J8" s="73">
        <v>0.4746617022096863</v>
      </c>
      <c r="K8" s="51"/>
      <c r="L8" s="51"/>
      <c r="M8" s="74">
        <v>0.7962642841956881</v>
      </c>
      <c r="N8" s="55">
        <v>-0.2767472498717771</v>
      </c>
      <c r="O8" s="55">
        <v>1.452973697223168</v>
      </c>
    </row>
    <row r="9">
      <c r="A9" s="32" t="s">
        <v>34</v>
      </c>
      <c r="B9" s="75">
        <v>-0.323080549100361</v>
      </c>
      <c r="C9" s="50">
        <v>45.1431938521023</v>
      </c>
      <c r="D9" s="51"/>
      <c r="E9" s="51"/>
      <c r="F9" s="50">
        <v>232.035392464815</v>
      </c>
      <c r="G9" s="50">
        <v>9.39</v>
      </c>
      <c r="H9" s="50">
        <v>5.707744115470681</v>
      </c>
      <c r="I9" s="51"/>
      <c r="J9" s="76">
        <v>0.3373428926116797</v>
      </c>
      <c r="K9" s="51"/>
      <c r="L9" s="51"/>
      <c r="M9" s="65">
        <v>0.4408236078853397</v>
      </c>
      <c r="N9" s="55">
        <v>0.4165417786366257</v>
      </c>
      <c r="O9" s="55">
        <v>0.1845432241331367</v>
      </c>
    </row>
    <row r="10">
      <c r="A10" s="32" t="s">
        <v>15</v>
      </c>
      <c r="B10" s="77">
        <v>0.992524625340439</v>
      </c>
      <c r="C10" s="51"/>
      <c r="D10" s="51"/>
      <c r="E10" s="51"/>
      <c r="F10" s="50">
        <v>29.5596103507831</v>
      </c>
      <c r="G10" s="51"/>
      <c r="H10" s="51"/>
      <c r="I10" s="51"/>
      <c r="J10" s="51"/>
      <c r="K10" s="51"/>
      <c r="L10" s="51"/>
      <c r="M10" s="78">
        <v>0.5394278175785998</v>
      </c>
      <c r="N10" s="55">
        <v>-0.2999845171292621</v>
      </c>
      <c r="O10" s="55">
        <v>0.53642355940654</v>
      </c>
    </row>
    <row r="11">
      <c r="A11" s="32" t="s">
        <v>23</v>
      </c>
      <c r="B11" s="79">
        <v>-1.46933081175439</v>
      </c>
      <c r="C11" s="50">
        <v>13.1456400046218</v>
      </c>
      <c r="D11" s="51"/>
      <c r="E11" s="51"/>
      <c r="F11" s="50">
        <v>44.4030093943695</v>
      </c>
      <c r="G11" s="51"/>
      <c r="H11" s="51"/>
      <c r="I11" s="51"/>
      <c r="J11" s="51"/>
      <c r="K11" s="51"/>
      <c r="L11" s="51"/>
      <c r="M11" s="78">
        <v>0.5378660991342298</v>
      </c>
      <c r="N11" s="55">
        <v>-0.8789986141026392</v>
      </c>
      <c r="O11" s="55">
        <v>0.530850389543741</v>
      </c>
    </row>
    <row r="12">
      <c r="A12" s="32" t="s">
        <v>39</v>
      </c>
      <c r="B12" s="50">
        <v>2.20936848979939</v>
      </c>
      <c r="C12" s="50">
        <v>35.2492265648321</v>
      </c>
      <c r="D12" s="51"/>
      <c r="E12" s="51"/>
      <c r="F12" s="50">
        <v>79.24604270792591</v>
      </c>
      <c r="G12" s="51"/>
      <c r="H12" s="51"/>
      <c r="I12" s="51"/>
      <c r="J12" s="51"/>
      <c r="K12" s="51"/>
      <c r="L12" s="51"/>
      <c r="M12" s="80">
        <v>0.5794348297449232</v>
      </c>
      <c r="N12" s="55">
        <v>-0.2477912094093856</v>
      </c>
      <c r="O12" s="55">
        <v>0.6791931318027502</v>
      </c>
    </row>
    <row r="13">
      <c r="A13" s="32" t="s">
        <v>25</v>
      </c>
      <c r="B13" s="81">
        <v>-1.77099463350953</v>
      </c>
      <c r="C13" s="50">
        <v>71.3300251691521</v>
      </c>
      <c r="D13" s="51"/>
      <c r="E13" s="51"/>
      <c r="F13" s="50">
        <v>61.897968642424</v>
      </c>
      <c r="G13" s="51"/>
      <c r="H13" s="51"/>
      <c r="I13" s="51"/>
      <c r="J13" s="51"/>
      <c r="K13" s="51"/>
      <c r="L13" s="51"/>
      <c r="M13" s="82">
        <v>0.5521983102421807</v>
      </c>
      <c r="N13" s="55">
        <v>-0.5276208947061042</v>
      </c>
      <c r="O13" s="55">
        <v>0.5819965146996904</v>
      </c>
    </row>
    <row r="14">
      <c r="A14" s="32" t="s">
        <v>29</v>
      </c>
      <c r="B14" s="83">
        <v>-0.828801355740078</v>
      </c>
      <c r="C14" s="50">
        <v>46.5224986659322</v>
      </c>
      <c r="D14" s="51"/>
      <c r="E14" s="51"/>
      <c r="F14" s="50">
        <v>643.042560625541</v>
      </c>
      <c r="G14" s="51"/>
      <c r="H14" s="51"/>
      <c r="I14" s="51"/>
      <c r="J14" s="51"/>
      <c r="K14" s="51"/>
      <c r="L14" s="51"/>
      <c r="M14" s="70">
        <v>0.1334012182638673</v>
      </c>
      <c r="N14" s="55">
        <v>0.002037543925405486</v>
      </c>
      <c r="O14" s="55">
        <v>-0.9125285324081931</v>
      </c>
    </row>
    <row r="15">
      <c r="A15" s="32" t="s">
        <v>36</v>
      </c>
      <c r="B15" s="84">
        <v>1.69444688834749</v>
      </c>
      <c r="C15" s="50">
        <v>64.3209101553548</v>
      </c>
      <c r="D15" s="51"/>
      <c r="E15" s="51"/>
      <c r="F15" s="50">
        <v>116.229205257758</v>
      </c>
      <c r="G15" s="51"/>
      <c r="H15" s="51"/>
      <c r="I15" s="51"/>
      <c r="J15" s="51"/>
      <c r="K15" s="51"/>
      <c r="L15" s="51"/>
      <c r="M15" s="85">
        <v>-0.03596911710020632</v>
      </c>
      <c r="N15" s="55">
        <v>-0.08958620163737163</v>
      </c>
      <c r="O15" s="55">
        <v>-1.516945834455214</v>
      </c>
    </row>
    <row r="16">
      <c r="A16" s="32" t="s">
        <v>41</v>
      </c>
      <c r="B16" s="50">
        <v>2.10661209783963</v>
      </c>
      <c r="C16" s="50">
        <v>61.1243613638526</v>
      </c>
      <c r="D16" s="51"/>
      <c r="E16" s="51"/>
      <c r="F16" s="50">
        <v>236.933974075014</v>
      </c>
      <c r="G16" s="51"/>
      <c r="H16" s="51"/>
      <c r="I16" s="51"/>
      <c r="J16" s="51"/>
      <c r="K16" s="51"/>
      <c r="L16" s="51"/>
      <c r="M16" s="86">
        <v>0.5254471626337067</v>
      </c>
      <c r="N16" s="55">
        <v>0.05973693635039515</v>
      </c>
      <c r="O16" s="55">
        <v>0.4865320023964034</v>
      </c>
    </row>
    <row r="17">
      <c r="A17" s="32" t="s">
        <v>43</v>
      </c>
      <c r="B17" s="87">
        <v>-0.75367192616747</v>
      </c>
      <c r="C17" s="50">
        <v>33.1072230203582</v>
      </c>
      <c r="D17" s="51"/>
      <c r="E17" s="51"/>
      <c r="F17" s="50">
        <v>154.773780178169</v>
      </c>
      <c r="G17" s="51"/>
      <c r="H17" s="51"/>
      <c r="I17" s="51"/>
      <c r="J17" s="51"/>
      <c r="K17" s="51"/>
      <c r="L17" s="51"/>
      <c r="M17" s="88">
        <v>0.299616292897504</v>
      </c>
      <c r="N17" s="55">
        <v>-0.5543474040408308</v>
      </c>
      <c r="O17" s="55">
        <v>-0.3193711370847798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