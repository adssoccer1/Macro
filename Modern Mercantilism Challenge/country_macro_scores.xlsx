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4"/>
    <sheet state="visible" name="Styled" sheetId="2" r:id="rId5"/>
  </sheets>
  <definedNames/>
  <calcPr/>
</workbook>
</file>

<file path=xl/sharedStrings.xml><?xml version="1.0" encoding="utf-8"?>
<sst xmlns="http://schemas.openxmlformats.org/spreadsheetml/2006/main" count="186" uniqueCount="98">
  <si>
    <t>Country</t>
  </si>
  <si>
    <t>CurrentAcct_to_GDP_%</t>
  </si>
  <si>
    <t>GovDebt_to_GDP</t>
  </si>
  <si>
    <t>Fiscal_Deficit_to_GDP</t>
  </si>
  <si>
    <t>Policy_Rate_%</t>
  </si>
  <si>
    <t>FX_Reserves_$bn</t>
  </si>
  <si>
    <t>Nominal_10y_Yield</t>
  </si>
  <si>
    <t>Real_10y_Yield</t>
  </si>
  <si>
    <t>Real_10y_Yield_Percentile</t>
  </si>
  <si>
    <t>Yield_US10y_Corr_1y</t>
  </si>
  <si>
    <t>NIIP_%_GDP_10yr_Delta</t>
  </si>
  <si>
    <t>ForOwn_%_MktCap</t>
  </si>
  <si>
    <t>P_E_Pctile_2005+</t>
  </si>
  <si>
    <t>Nasdaq_Corr_1y</t>
  </si>
  <si>
    <t>Bond_Total_Score</t>
  </si>
  <si>
    <t>Equity_Total_Score</t>
  </si>
  <si>
    <t>US</t>
  </si>
  <si>
    <t>DE</t>
  </si>
  <si>
    <t>JP</t>
  </si>
  <si>
    <t>BR</t>
  </si>
  <si>
    <t>KR</t>
  </si>
  <si>
    <t>GB</t>
  </si>
  <si>
    <t>CA</t>
  </si>
  <si>
    <t>MX</t>
  </si>
  <si>
    <t>AR</t>
  </si>
  <si>
    <t>CL</t>
  </si>
  <si>
    <t>PE</t>
  </si>
  <si>
    <t>CO</t>
  </si>
  <si>
    <t>IN</t>
  </si>
  <si>
    <t>MY</t>
  </si>
  <si>
    <t>TH</t>
  </si>
  <si>
    <t>TR</t>
  </si>
  <si>
    <t>CH</t>
  </si>
  <si>
    <t>niip 15 start</t>
  </si>
  <si>
    <t>GDP 2015 start</t>
  </si>
  <si>
    <t>niip15/GDP15start</t>
  </si>
  <si>
    <t>niip 2025 end</t>
  </si>
  <si>
    <t>GDP 2025 end</t>
  </si>
  <si>
    <t>niip25/GDP25 end</t>
  </si>
  <si>
    <t>niip/gdp delta 2015-2025</t>
  </si>
  <si>
    <t>niip growth</t>
  </si>
  <si>
    <t xml:space="preserve">niip/gdpend - niip/gdpstart </t>
  </si>
  <si>
    <t>-96*</t>
  </si>
  <si>
    <t>2025 GDP in USD</t>
  </si>
  <si>
    <t>FX reserves in USD</t>
  </si>
  <si>
    <t>Current P/E</t>
  </si>
  <si>
    <t>20-Y μ</t>
  </si>
  <si>
    <t>σ (from 1-σ band)</t>
  </si>
  <si>
    <t>Percentile</t>
  </si>
  <si>
    <t>Japan</t>
  </si>
  <si>
    <t>61 %</t>
  </si>
  <si>
    <t>Chile</t>
  </si>
  <si>
    <t>4 %</t>
  </si>
  <si>
    <t>Argentina</t>
  </si>
  <si>
    <t>68 %</t>
  </si>
  <si>
    <t>Brazil</t>
  </si>
  <si>
    <t>65 %</t>
  </si>
  <si>
    <t>Germany</t>
  </si>
  <si>
    <t>≈100 %</t>
  </si>
  <si>
    <t>United Kingdom</t>
  </si>
  <si>
    <t>United States</t>
  </si>
  <si>
    <t>99.98 %</t>
  </si>
  <si>
    <t>Korea</t>
  </si>
  <si>
    <t>89 %</t>
  </si>
  <si>
    <t>Peru</t>
  </si>
  <si>
    <t>25 %</t>
  </si>
  <si>
    <t>Colombia</t>
  </si>
  <si>
    <t>6 %</t>
  </si>
  <si>
    <t>Turkey</t>
  </si>
  <si>
    <t>93 %</t>
  </si>
  <si>
    <t>Malaysia</t>
  </si>
  <si>
    <t>15 %</t>
  </si>
  <si>
    <t>Thailand</t>
  </si>
  <si>
    <t>34 %</t>
  </si>
  <si>
    <t>China</t>
  </si>
  <si>
    <t>32 %</t>
  </si>
  <si>
    <t>Canada</t>
  </si>
  <si>
    <t>India</t>
  </si>
  <si>
    <t>99.6 %</t>
  </si>
  <si>
    <t>Mexico</t>
  </si>
  <si>
    <t>16 %</t>
  </si>
  <si>
    <t>exports to USA last 1 year</t>
  </si>
  <si>
    <t>Exports to USA % of GDP</t>
  </si>
  <si>
    <t>ar</t>
  </si>
  <si>
    <t>br</t>
  </si>
  <si>
    <t>ca</t>
  </si>
  <si>
    <t>ch</t>
  </si>
  <si>
    <t>cl</t>
  </si>
  <si>
    <t>co</t>
  </si>
  <si>
    <t>de</t>
  </si>
  <si>
    <t>gb</t>
  </si>
  <si>
    <t>jp</t>
  </si>
  <si>
    <t>mx</t>
  </si>
  <si>
    <t>my</t>
  </si>
  <si>
    <t>pe</t>
  </si>
  <si>
    <t>th</t>
  </si>
  <si>
    <t>tr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</si>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</sst>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b/>
      <sz val="11.0"/>
      <color rgb="FF434343"/>
      <name val="Roboto"/>
    </font>
    <font>
      <sz val="11.0"/>
      <color rgb="FF434343"/>
      <name val="Roboto"/>
    </font>
    <font>
      <color rgb="FFF1F1F1"/>
      <name val="Calibri"/>
      <scheme val="minor"/>
    </font>
  </fonts>
  <fills count="4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53061"/>
        <bgColor rgb="FF053061"/>
      </patternFill>
    </fill>
    <fill>
      <patternFill patternType="solid">
        <fgColor rgb="FF67001F"/>
        <bgColor rgb="FF67001F"/>
      </patternFill>
    </fill>
    <fill>
      <patternFill patternType="solid">
        <fgColor rgb="FF000000"/>
        <bgColor rgb="FF000000"/>
      </patternFill>
    </fill>
    <fill>
      <patternFill patternType="solid">
        <fgColor rgb="FFBF3338"/>
        <bgColor rgb="FFBF3338"/>
      </patternFill>
    </fill>
    <fill>
      <patternFill patternType="solid">
        <fgColor rgb="FFEC9374"/>
        <bgColor rgb="FFEC9374"/>
      </patternFill>
    </fill>
    <fill>
      <patternFill patternType="solid">
        <fgColor rgb="FFE6866A"/>
        <bgColor rgb="FFE6866A"/>
      </patternFill>
    </fill>
    <fill>
      <patternFill patternType="solid">
        <fgColor rgb="FFF0F4F6"/>
        <bgColor rgb="FFF0F4F6"/>
      </patternFill>
    </fill>
    <fill>
      <patternFill patternType="solid">
        <fgColor rgb="FFF8BDA1"/>
        <bgColor rgb="FFF8BDA1"/>
      </patternFill>
    </fill>
    <fill>
      <patternFill patternType="solid">
        <fgColor rgb="FFFAE7DC"/>
        <bgColor rgb="FFFAE7DC"/>
      </patternFill>
    </fill>
    <fill>
      <patternFill patternType="solid">
        <fgColor rgb="FFC2383A"/>
        <bgColor rgb="FFC2383A"/>
      </patternFill>
    </fill>
    <fill>
      <patternFill patternType="solid">
        <fgColor rgb="FF1D5FA2"/>
        <bgColor rgb="FF1D5FA2"/>
      </patternFill>
    </fill>
    <fill>
      <patternFill patternType="solid">
        <fgColor rgb="FFF8BB9E"/>
        <bgColor rgb="FFF8BB9E"/>
      </patternFill>
    </fill>
    <fill>
      <patternFill patternType="solid">
        <fgColor rgb="FFF8F2EF"/>
        <bgColor rgb="FFF8F2EF"/>
      </patternFill>
    </fill>
    <fill>
      <patternFill patternType="solid">
        <fgColor rgb="FFFDDCC9"/>
        <bgColor rgb="FFFDDCC9"/>
      </patternFill>
    </fill>
    <fill>
      <patternFill patternType="solid">
        <fgColor rgb="FF760521"/>
        <bgColor rgb="FF760521"/>
      </patternFill>
    </fill>
    <fill>
      <patternFill patternType="solid">
        <fgColor rgb="FFFCD5BF"/>
        <bgColor rgb="FFFCD5BF"/>
      </patternFill>
    </fill>
    <fill>
      <patternFill patternType="solid">
        <fgColor rgb="FFEFF3F5"/>
        <bgColor rgb="FFEFF3F5"/>
      </patternFill>
    </fill>
    <fill>
      <patternFill patternType="solid">
        <fgColor rgb="FFF8F1ED"/>
        <bgColor rgb="FFF8F1ED"/>
      </patternFill>
    </fill>
    <fill>
      <patternFill patternType="solid">
        <fgColor rgb="FFD86551"/>
        <bgColor rgb="FFD86551"/>
      </patternFill>
    </fill>
    <fill>
      <patternFill patternType="solid">
        <fgColor rgb="FFF7B596"/>
        <bgColor rgb="FFF7B596"/>
      </patternFill>
    </fill>
    <fill>
      <patternFill patternType="solid">
        <fgColor rgb="FFF9EEE7"/>
        <bgColor rgb="FFF9EEE7"/>
      </patternFill>
    </fill>
    <fill>
      <patternFill patternType="solid">
        <fgColor rgb="FFC7E0ED"/>
        <bgColor rgb="FFC7E0ED"/>
      </patternFill>
    </fill>
    <fill>
      <patternFill patternType="solid">
        <fgColor rgb="FFF5A886"/>
        <bgColor rgb="FFF5A886"/>
      </patternFill>
    </fill>
    <fill>
      <patternFill patternType="solid">
        <fgColor rgb="FFFBD0B9"/>
        <bgColor rgb="FFFBD0B9"/>
      </patternFill>
    </fill>
    <fill>
      <patternFill patternType="solid">
        <fgColor rgb="FFF4A683"/>
        <bgColor rgb="FFF4A683"/>
      </patternFill>
    </fill>
    <fill>
      <patternFill patternType="solid">
        <fgColor rgb="FFD8E9F1"/>
        <bgColor rgb="FFD8E9F1"/>
      </patternFill>
    </fill>
    <fill>
      <patternFill patternType="solid">
        <fgColor rgb="FFFCDFCF"/>
        <bgColor rgb="FFFCDFCF"/>
      </patternFill>
    </fill>
    <fill>
      <patternFill patternType="solid">
        <fgColor rgb="FFE58368"/>
        <bgColor rgb="FFE58368"/>
      </patternFill>
    </fill>
    <fill>
      <patternFill patternType="solid">
        <fgColor rgb="FFFAC8AF"/>
        <bgColor rgb="FFFAC8AF"/>
      </patternFill>
    </fill>
    <fill>
      <patternFill patternType="solid">
        <fgColor rgb="FF2B73B3"/>
        <bgColor rgb="FF2B73B3"/>
      </patternFill>
    </fill>
    <fill>
      <patternFill patternType="solid">
        <fgColor rgb="FFF9C2A7"/>
        <bgColor rgb="FFF9C2A7"/>
      </patternFill>
    </fill>
    <fill>
      <patternFill patternType="solid">
        <fgColor rgb="FF144E8A"/>
        <bgColor rgb="FF144E8A"/>
      </patternFill>
    </fill>
    <fill>
      <patternFill patternType="solid">
        <fgColor rgb="FFF9C6AC"/>
        <bgColor rgb="FFF9C6AC"/>
      </patternFill>
    </fill>
    <fill>
      <patternFill patternType="solid">
        <fgColor rgb="FF8AC0DB"/>
        <bgColor rgb="FF8AC0DB"/>
      </patternFill>
    </fill>
    <fill>
      <patternFill patternType="solid">
        <fgColor rgb="FF9F1228"/>
        <bgColor rgb="FF9F1228"/>
      </patternFill>
    </fill>
    <fill>
      <patternFill patternType="solid">
        <fgColor rgb="FFF3F5F6"/>
        <bgColor rgb="FFF3F5F6"/>
      </patternFill>
    </fill>
    <fill>
      <patternFill patternType="solid">
        <fgColor rgb="FFFACAB1"/>
        <bgColor rgb="FFFACAB1"/>
      </patternFill>
    </fill>
    <fill>
      <patternFill patternType="solid">
        <fgColor rgb="FF98C8E0"/>
        <bgColor rgb="FF98C8E0"/>
      </patternFill>
    </fill>
    <fill>
      <patternFill patternType="solid">
        <fgColor rgb="FFFCE2D2"/>
        <bgColor rgb="FFFCE2D2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1" fillId="2" fontId="4" numFmtId="0" xfId="0" applyAlignment="1" applyBorder="1" applyFill="1" applyFont="1">
      <alignment horizontal="center" shrinkToFit="0" vertical="top" wrapText="0"/>
    </xf>
    <xf borderId="2" fillId="2" fontId="5" numFmtId="0" xfId="0" applyAlignment="1" applyBorder="1" applyFont="1">
      <alignment horizontal="right" shrinkToFit="0" wrapText="0"/>
    </xf>
    <xf borderId="0" fillId="0" fontId="2" numFmtId="0" xfId="0" applyAlignment="1" applyFont="1">
      <alignment readingOrder="0"/>
    </xf>
    <xf borderId="1" fillId="3" fontId="4" numFmtId="0" xfId="0" applyAlignment="1" applyBorder="1" applyFill="1" applyFont="1">
      <alignment horizontal="center" shrinkToFit="0" vertical="top" wrapText="0"/>
    </xf>
    <xf borderId="3" fillId="3" fontId="5" numFmtId="0" xfId="0" applyAlignment="1" applyBorder="1" applyFont="1">
      <alignment horizontal="right" shrinkToFit="0" wrapText="0"/>
    </xf>
    <xf borderId="1" fillId="3" fontId="4" numFmtId="0" xfId="0" applyAlignment="1" applyBorder="1" applyFont="1">
      <alignment horizontal="center" shrinkToFit="0" vertical="top" wrapText="0"/>
    </xf>
    <xf borderId="1" fillId="2" fontId="4" numFmtId="0" xfId="0" applyAlignment="1" applyBorder="1" applyFont="1">
      <alignment horizontal="center" shrinkToFit="0" vertical="top" wrapText="0"/>
    </xf>
    <xf borderId="4" fillId="2" fontId="5" numFmtId="0" xfId="0" applyAlignment="1" applyBorder="1" applyFont="1">
      <alignment horizontal="right" shrinkToFit="0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5" fillId="4" fontId="6" numFmtId="0" xfId="0" applyBorder="1" applyFill="1" applyFont="1"/>
    <xf borderId="5" fillId="5" fontId="6" numFmtId="0" xfId="0" applyBorder="1" applyFill="1" applyFont="1"/>
    <xf borderId="5" fillId="6" fontId="6" numFmtId="0" xfId="0" applyBorder="1" applyFill="1" applyFont="1"/>
    <xf borderId="5" fillId="7" fontId="6" numFmtId="0" xfId="0" applyBorder="1" applyFill="1" applyFont="1"/>
    <xf borderId="5" fillId="8" fontId="6" numFmtId="0" xfId="0" applyBorder="1" applyFill="1" applyFont="1"/>
    <xf borderId="5" fillId="9" fontId="6" numFmtId="0" xfId="0" applyBorder="1" applyFill="1" applyFont="1"/>
    <xf borderId="5" fillId="10" fontId="3" numFmtId="0" xfId="0" applyBorder="1" applyFill="1" applyFont="1"/>
    <xf borderId="5" fillId="11" fontId="3" numFmtId="0" xfId="0" applyBorder="1" applyFill="1" applyFont="1"/>
    <xf borderId="5" fillId="12" fontId="3" numFmtId="0" xfId="0" applyBorder="1" applyFill="1" applyFont="1"/>
    <xf borderId="5" fillId="13" fontId="6" numFmtId="0" xfId="0" applyBorder="1" applyFill="1" applyFont="1"/>
    <xf borderId="5" fillId="14" fontId="6" numFmtId="0" xfId="0" applyBorder="1" applyFill="1" applyFont="1"/>
    <xf borderId="5" fillId="15" fontId="3" numFmtId="0" xfId="0" applyBorder="1" applyFill="1" applyFont="1"/>
    <xf borderId="5" fillId="16" fontId="3" numFmtId="0" xfId="0" applyBorder="1" applyFill="1" applyFont="1"/>
    <xf borderId="5" fillId="17" fontId="3" numFmtId="0" xfId="0" applyBorder="1" applyFill="1" applyFont="1"/>
    <xf borderId="5" fillId="18" fontId="6" numFmtId="0" xfId="0" applyBorder="1" applyFill="1" applyFont="1"/>
    <xf borderId="5" fillId="19" fontId="3" numFmtId="0" xfId="0" applyBorder="1" applyFill="1" applyFont="1"/>
    <xf borderId="5" fillId="20" fontId="3" numFmtId="0" xfId="0" applyBorder="1" applyFill="1" applyFont="1"/>
    <xf borderId="5" fillId="21" fontId="3" numFmtId="0" xfId="0" applyBorder="1" applyFill="1" applyFont="1"/>
    <xf borderId="5" fillId="22" fontId="6" numFmtId="0" xfId="0" applyBorder="1" applyFill="1" applyFont="1"/>
    <xf borderId="5" fillId="23" fontId="3" numFmtId="0" xfId="0" applyBorder="1" applyFill="1" applyFont="1"/>
    <xf borderId="5" fillId="24" fontId="3" numFmtId="0" xfId="0" applyBorder="1" applyFill="1" applyFont="1"/>
    <xf borderId="5" fillId="25" fontId="3" numFmtId="0" xfId="0" applyBorder="1" applyFill="1" applyFont="1"/>
    <xf borderId="5" fillId="26" fontId="3" numFmtId="0" xfId="0" applyBorder="1" applyFill="1" applyFont="1"/>
    <xf borderId="5" fillId="27" fontId="3" numFmtId="0" xfId="0" applyBorder="1" applyFill="1" applyFont="1"/>
    <xf borderId="5" fillId="28" fontId="3" numFmtId="0" xfId="0" applyBorder="1" applyFill="1" applyFont="1"/>
    <xf borderId="5" fillId="29" fontId="3" numFmtId="0" xfId="0" applyBorder="1" applyFill="1" applyFont="1"/>
    <xf borderId="5" fillId="30" fontId="3" numFmtId="0" xfId="0" applyBorder="1" applyFill="1" applyFont="1"/>
    <xf borderId="5" fillId="31" fontId="6" numFmtId="0" xfId="0" applyBorder="1" applyFill="1" applyFont="1"/>
    <xf borderId="5" fillId="32" fontId="3" numFmtId="0" xfId="0" applyBorder="1" applyFill="1" applyFont="1"/>
    <xf borderId="5" fillId="33" fontId="6" numFmtId="0" xfId="0" applyBorder="1" applyFill="1" applyFont="1"/>
    <xf borderId="5" fillId="34" fontId="3" numFmtId="0" xfId="0" applyBorder="1" applyFill="1" applyFont="1"/>
    <xf borderId="5" fillId="35" fontId="6" numFmtId="0" xfId="0" applyBorder="1" applyFill="1" applyFont="1"/>
    <xf borderId="5" fillId="36" fontId="3" numFmtId="0" xfId="0" applyBorder="1" applyFill="1" applyFont="1"/>
    <xf borderId="5" fillId="37" fontId="3" numFmtId="0" xfId="0" applyBorder="1" applyFill="1" applyFont="1"/>
    <xf borderId="5" fillId="38" fontId="6" numFmtId="0" xfId="0" applyBorder="1" applyFill="1" applyFont="1"/>
    <xf borderId="5" fillId="39" fontId="3" numFmtId="0" xfId="0" applyBorder="1" applyFill="1" applyFont="1"/>
    <xf borderId="5" fillId="40" fontId="3" numFmtId="0" xfId="0" applyBorder="1" applyFill="1" applyFont="1"/>
    <xf borderId="5" fillId="41" fontId="3" numFmtId="0" xfId="0" applyBorder="1" applyFill="1" applyFont="1"/>
    <xf borderId="5" fillId="42" fontId="3" numFmtId="0" xfId="0" applyBorder="1" applyFill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Raw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42:E58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Ra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5" width="21.0"/>
    <col customWidth="1" min="6" max="10" width="21.71"/>
    <col customWidth="1" min="11" max="11" width="17.57"/>
    <col customWidth="1" min="12" max="12" width="17.43"/>
    <col customWidth="1" min="13" max="13" width="18.0"/>
    <col customWidth="1" min="14" max="14" width="15.43"/>
    <col customWidth="1" min="15" max="15" width="23.14"/>
    <col customWidth="1" min="16" max="16" width="23.86"/>
    <col customWidth="1" min="17" max="18" width="22.29"/>
    <col customWidth="1" min="19" max="20" width="18.43"/>
    <col customWidth="1" min="21" max="21" width="19.43"/>
    <col customWidth="1" min="22" max="22" width="18.0"/>
    <col customWidth="1" min="23" max="33" width="8.71"/>
  </cols>
  <sheetData>
    <row r="1">
      <c r="A1" s="1" t="s">
        <v>0</v>
      </c>
      <c r="B1" s="1" t="s">
        <v>1</v>
      </c>
      <c r="C1" s="1"/>
      <c r="D1" s="1"/>
      <c r="E1" s="1" t="s">
        <v>2</v>
      </c>
      <c r="F1" s="1"/>
      <c r="G1" s="1"/>
      <c r="H1" s="1"/>
      <c r="I1" s="1"/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2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</row>
    <row r="2">
      <c r="A2" s="1" t="s">
        <v>16</v>
      </c>
      <c r="B2" s="3">
        <v>-3.88</v>
      </c>
      <c r="E2" s="3">
        <v>114.76</v>
      </c>
      <c r="F2" s="4"/>
      <c r="G2" s="4"/>
      <c r="H2" s="4"/>
      <c r="I2" s="4"/>
      <c r="J2" s="4">
        <v>-6.2</v>
      </c>
      <c r="K2" s="5">
        <v>4.5</v>
      </c>
      <c r="L2" s="3">
        <v>910.04</v>
      </c>
      <c r="M2" s="3">
        <v>4.38</v>
      </c>
      <c r="N2" s="3">
        <v>1.44</v>
      </c>
      <c r="P2" s="5">
        <v>1.0</v>
      </c>
      <c r="T2" s="3">
        <v>0.97</v>
      </c>
      <c r="U2" s="3">
        <v>0.41</v>
      </c>
      <c r="V2" s="3">
        <v>2.07</v>
      </c>
    </row>
    <row r="3">
      <c r="A3" s="1" t="s">
        <v>17</v>
      </c>
      <c r="B3" s="3">
        <v>5.73</v>
      </c>
      <c r="C3" s="5"/>
      <c r="D3" s="5"/>
      <c r="E3" s="5">
        <v>87.4</v>
      </c>
      <c r="F3" s="5"/>
      <c r="G3" s="5"/>
      <c r="H3" s="5"/>
      <c r="I3" s="5"/>
      <c r="J3" s="5">
        <v>-3.1</v>
      </c>
      <c r="K3" s="5">
        <v>2.15</v>
      </c>
      <c r="L3" s="3">
        <v>377.94</v>
      </c>
      <c r="M3" s="3">
        <v>2.52</v>
      </c>
      <c r="N3" s="3">
        <v>-0.08</v>
      </c>
      <c r="P3" s="3">
        <v>0.61</v>
      </c>
      <c r="T3" s="3">
        <v>0.23</v>
      </c>
      <c r="U3" s="3">
        <v>0.28</v>
      </c>
      <c r="V3" s="3">
        <v>-0.58</v>
      </c>
    </row>
    <row r="4">
      <c r="A4" s="1" t="s">
        <v>18</v>
      </c>
      <c r="B4" s="3">
        <v>4.82</v>
      </c>
      <c r="E4" s="3">
        <v>215.91</v>
      </c>
      <c r="F4" s="5"/>
      <c r="G4" s="5"/>
      <c r="H4" s="5"/>
      <c r="I4" s="5"/>
      <c r="J4" s="5">
        <v>-5.5</v>
      </c>
      <c r="K4" s="5">
        <v>0.5</v>
      </c>
      <c r="L4" s="3">
        <v>1230.67</v>
      </c>
      <c r="M4" s="3">
        <v>1.42</v>
      </c>
      <c r="N4" s="3">
        <v>-1.65</v>
      </c>
      <c r="P4" s="3">
        <v>0.63</v>
      </c>
      <c r="T4" s="3">
        <v>0.06</v>
      </c>
      <c r="U4" s="3">
        <v>0.87</v>
      </c>
      <c r="V4" s="3">
        <v>-1.16</v>
      </c>
    </row>
    <row r="5">
      <c r="A5" s="1" t="s">
        <v>19</v>
      </c>
      <c r="B5" s="3">
        <v>-2.81</v>
      </c>
      <c r="E5" s="3">
        <v>83.03</v>
      </c>
      <c r="F5" s="5"/>
      <c r="G5" s="5"/>
      <c r="H5" s="5"/>
      <c r="I5" s="5"/>
      <c r="J5" s="5">
        <v>-8.5</v>
      </c>
      <c r="K5" s="5">
        <v>15.0</v>
      </c>
      <c r="L5" s="3">
        <v>329.73</v>
      </c>
      <c r="M5" s="5">
        <v>14.15</v>
      </c>
      <c r="N5" s="5">
        <v>8.85</v>
      </c>
      <c r="P5" s="5">
        <v>-0.01</v>
      </c>
      <c r="T5" s="3">
        <v>0.38</v>
      </c>
      <c r="U5" s="3">
        <v>-0.32</v>
      </c>
      <c r="V5" s="3">
        <v>-0.03</v>
      </c>
    </row>
    <row r="6">
      <c r="A6" s="1" t="s">
        <v>20</v>
      </c>
      <c r="B6" s="3">
        <v>1.92</v>
      </c>
      <c r="E6" s="3">
        <v>52.3</v>
      </c>
      <c r="F6" s="5"/>
      <c r="G6" s="5"/>
      <c r="H6" s="5"/>
      <c r="I6" s="5"/>
      <c r="J6" s="5">
        <v>-3.9</v>
      </c>
      <c r="K6" s="5">
        <v>2.5</v>
      </c>
      <c r="L6" s="3">
        <v>418.22</v>
      </c>
      <c r="M6" s="3">
        <v>2.84</v>
      </c>
      <c r="N6" s="3">
        <v>0.45</v>
      </c>
      <c r="P6" s="3">
        <v>-0.08</v>
      </c>
      <c r="T6" s="3">
        <v>0.08</v>
      </c>
      <c r="U6" s="3">
        <v>-0.36</v>
      </c>
      <c r="V6" s="3">
        <v>-1.1</v>
      </c>
    </row>
    <row r="7">
      <c r="A7" s="1" t="s">
        <v>21</v>
      </c>
      <c r="B7" s="3">
        <v>-2.65</v>
      </c>
      <c r="E7" s="3">
        <v>138.64</v>
      </c>
      <c r="F7" s="5"/>
      <c r="G7" s="5"/>
      <c r="H7" s="5"/>
      <c r="I7" s="5"/>
      <c r="J7" s="5">
        <v>-4.8</v>
      </c>
      <c r="K7" s="5">
        <v>4.25</v>
      </c>
      <c r="L7" s="3">
        <v>174.6</v>
      </c>
      <c r="M7" s="3">
        <v>4.52</v>
      </c>
      <c r="N7" s="3">
        <v>1.16</v>
      </c>
      <c r="P7" s="5">
        <v>0.81</v>
      </c>
      <c r="T7" s="3">
        <v>0.13</v>
      </c>
      <c r="U7" s="3">
        <v>0.08</v>
      </c>
      <c r="V7" s="3">
        <v>-0.91</v>
      </c>
    </row>
    <row r="8">
      <c r="A8" s="1" t="s">
        <v>22</v>
      </c>
      <c r="B8" s="5">
        <v>-1.0</v>
      </c>
      <c r="C8" s="5"/>
      <c r="D8" s="5"/>
      <c r="E8" s="5">
        <v>110.8</v>
      </c>
      <c r="F8" s="5"/>
      <c r="G8" s="5"/>
      <c r="H8" s="5"/>
      <c r="I8" s="5"/>
      <c r="J8" s="5">
        <v>-2.1</v>
      </c>
      <c r="K8" s="5">
        <v>2.75</v>
      </c>
      <c r="L8" s="3">
        <v>119.78</v>
      </c>
      <c r="M8" s="5">
        <v>3.6</v>
      </c>
      <c r="N8" s="5">
        <v>1.7</v>
      </c>
      <c r="P8" s="3">
        <v>0.47</v>
      </c>
      <c r="T8" s="3">
        <v>0.8</v>
      </c>
      <c r="U8" s="3">
        <v>-0.28</v>
      </c>
      <c r="V8" s="3">
        <v>1.45</v>
      </c>
    </row>
    <row r="9">
      <c r="A9" s="1" t="s">
        <v>23</v>
      </c>
      <c r="B9" s="5">
        <v>-0.8</v>
      </c>
      <c r="E9" s="3">
        <v>45.14</v>
      </c>
      <c r="F9" s="5"/>
      <c r="G9" s="5"/>
      <c r="H9" s="5"/>
      <c r="I9" s="5"/>
      <c r="J9" s="5">
        <v>-5.7</v>
      </c>
      <c r="K9" s="5">
        <v>8.0</v>
      </c>
      <c r="L9" s="3">
        <v>232.04</v>
      </c>
      <c r="M9" s="3">
        <v>9.39</v>
      </c>
      <c r="N9" s="3">
        <v>5.71</v>
      </c>
      <c r="P9" s="3">
        <v>0.34</v>
      </c>
      <c r="T9" s="3">
        <v>0.44</v>
      </c>
      <c r="U9" s="3">
        <v>0.42</v>
      </c>
      <c r="V9" s="3">
        <v>0.18</v>
      </c>
    </row>
    <row r="10">
      <c r="A10" s="1" t="s">
        <v>24</v>
      </c>
      <c r="B10" s="3">
        <v>0.99</v>
      </c>
      <c r="C10" s="5"/>
      <c r="D10" s="5"/>
      <c r="E10" s="5">
        <v>83.3</v>
      </c>
      <c r="F10" s="5"/>
      <c r="G10" s="5"/>
      <c r="H10" s="5"/>
      <c r="I10" s="5"/>
      <c r="J10" s="5">
        <v>-4.37</v>
      </c>
      <c r="K10" s="5">
        <v>29.0</v>
      </c>
      <c r="L10" s="3">
        <v>29.56</v>
      </c>
      <c r="T10" s="3">
        <v>0.54</v>
      </c>
      <c r="U10" s="3">
        <v>-0.3</v>
      </c>
      <c r="V10" s="3">
        <v>0.54</v>
      </c>
    </row>
    <row r="11">
      <c r="A11" s="1" t="s">
        <v>25</v>
      </c>
      <c r="B11" s="3">
        <v>-1.47</v>
      </c>
      <c r="C11" s="5"/>
      <c r="D11" s="5"/>
      <c r="E11" s="5">
        <v>41.7</v>
      </c>
      <c r="F11" s="5"/>
      <c r="G11" s="5"/>
      <c r="H11" s="5"/>
      <c r="I11" s="5"/>
      <c r="J11" s="5">
        <v>-2.8</v>
      </c>
      <c r="K11" s="5">
        <v>5.0</v>
      </c>
      <c r="L11" s="3">
        <v>44.4</v>
      </c>
      <c r="M11" s="5">
        <v>5.6</v>
      </c>
      <c r="N11" s="5">
        <v>1.5</v>
      </c>
      <c r="P11" s="5">
        <v>0.51</v>
      </c>
      <c r="T11" s="3">
        <v>0.54</v>
      </c>
      <c r="U11" s="3">
        <v>-0.88</v>
      </c>
      <c r="V11" s="3">
        <v>0.53</v>
      </c>
    </row>
    <row r="12">
      <c r="A12" s="1" t="s">
        <v>26</v>
      </c>
      <c r="B12" s="3">
        <v>2.21</v>
      </c>
      <c r="E12" s="3">
        <v>35.25</v>
      </c>
      <c r="F12" s="5"/>
      <c r="G12" s="5"/>
      <c r="H12" s="5"/>
      <c r="I12" s="5"/>
      <c r="J12" s="5">
        <v>-3.2</v>
      </c>
      <c r="K12" s="5">
        <v>4.5</v>
      </c>
      <c r="L12" s="3">
        <v>79.25</v>
      </c>
      <c r="M12" s="5">
        <v>6.1</v>
      </c>
      <c r="N12" s="5">
        <v>4.4</v>
      </c>
      <c r="T12" s="3">
        <v>0.58</v>
      </c>
      <c r="U12" s="3">
        <v>-0.25</v>
      </c>
      <c r="V12" s="3">
        <v>0.68</v>
      </c>
    </row>
    <row r="13">
      <c r="A13" s="1" t="s">
        <v>27</v>
      </c>
      <c r="B13" s="3">
        <v>-1.77</v>
      </c>
      <c r="C13" s="5"/>
      <c r="D13" s="5"/>
      <c r="E13" s="5">
        <v>61.3</v>
      </c>
      <c r="F13" s="5"/>
      <c r="G13" s="5"/>
      <c r="H13" s="5"/>
      <c r="I13" s="5"/>
      <c r="J13" s="5">
        <v>-5.8</v>
      </c>
      <c r="K13" s="5">
        <v>9.25</v>
      </c>
      <c r="L13" s="3">
        <v>61.9</v>
      </c>
      <c r="M13" s="5">
        <v>11.8</v>
      </c>
      <c r="N13" s="5">
        <v>7.0</v>
      </c>
      <c r="P13" s="5">
        <v>-0.09</v>
      </c>
      <c r="T13" s="3">
        <v>0.55</v>
      </c>
      <c r="U13" s="3">
        <v>-0.53</v>
      </c>
      <c r="V13" s="3">
        <v>0.58</v>
      </c>
    </row>
    <row r="14">
      <c r="A14" s="1" t="s">
        <v>28</v>
      </c>
      <c r="B14" s="3">
        <v>-0.83</v>
      </c>
      <c r="C14" s="5"/>
      <c r="D14" s="5"/>
      <c r="E14" s="5">
        <v>81.59</v>
      </c>
      <c r="F14" s="5"/>
      <c r="G14" s="5"/>
      <c r="H14" s="5"/>
      <c r="I14" s="5"/>
      <c r="J14" s="5">
        <v>-4.8</v>
      </c>
      <c r="K14" s="5">
        <v>5.5</v>
      </c>
      <c r="L14" s="3">
        <v>643.04</v>
      </c>
      <c r="M14" s="5">
        <v>6.3</v>
      </c>
      <c r="N14" s="5">
        <v>4.2</v>
      </c>
      <c r="P14" s="5">
        <v>-0.64</v>
      </c>
      <c r="T14" s="3">
        <v>0.13</v>
      </c>
      <c r="U14" s="3">
        <v>0.0</v>
      </c>
      <c r="V14" s="3">
        <v>-0.91</v>
      </c>
    </row>
    <row r="15">
      <c r="A15" s="1" t="s">
        <v>29</v>
      </c>
      <c r="B15" s="3">
        <v>1.69</v>
      </c>
      <c r="E15" s="3">
        <v>64.32</v>
      </c>
      <c r="F15" s="5"/>
      <c r="G15" s="5"/>
      <c r="H15" s="5"/>
      <c r="I15" s="5"/>
      <c r="J15" s="5">
        <v>-4.1</v>
      </c>
      <c r="K15" s="5">
        <v>2.75</v>
      </c>
      <c r="L15" s="3">
        <v>116.23</v>
      </c>
      <c r="M15" s="5">
        <v>3.5</v>
      </c>
      <c r="N15" s="5">
        <v>2.2</v>
      </c>
      <c r="P15" s="5">
        <v>-0.51</v>
      </c>
      <c r="T15" s="3">
        <v>-0.04</v>
      </c>
      <c r="U15" s="3">
        <v>-0.09</v>
      </c>
      <c r="V15" s="3">
        <v>-1.52</v>
      </c>
    </row>
    <row r="16">
      <c r="A16" s="1" t="s">
        <v>30</v>
      </c>
      <c r="B16" s="3">
        <v>2.11</v>
      </c>
      <c r="E16" s="3">
        <v>61.12</v>
      </c>
      <c r="F16" s="5"/>
      <c r="G16" s="5"/>
      <c r="H16" s="5"/>
      <c r="I16" s="5"/>
      <c r="J16" s="5">
        <v>-2.2</v>
      </c>
      <c r="K16" s="5">
        <v>1.75</v>
      </c>
      <c r="L16" s="3">
        <v>236.93</v>
      </c>
      <c r="M16" s="5">
        <v>1.5</v>
      </c>
      <c r="N16" s="5">
        <v>1.75</v>
      </c>
      <c r="P16" s="5">
        <v>-0.6</v>
      </c>
      <c r="T16" s="3">
        <v>0.53</v>
      </c>
      <c r="U16" s="3">
        <v>0.06</v>
      </c>
      <c r="V16" s="3">
        <v>0.49</v>
      </c>
    </row>
    <row r="17">
      <c r="A17" s="1" t="s">
        <v>31</v>
      </c>
      <c r="B17" s="3">
        <v>-0.75</v>
      </c>
      <c r="E17" s="3">
        <v>33.11</v>
      </c>
      <c r="F17" s="5"/>
      <c r="G17" s="5"/>
      <c r="H17" s="5"/>
      <c r="I17" s="5"/>
      <c r="J17" s="5">
        <v>-4.9</v>
      </c>
      <c r="K17" s="5">
        <v>46.0</v>
      </c>
      <c r="L17" s="3">
        <v>154.77</v>
      </c>
      <c r="M17" s="5">
        <v>32.04</v>
      </c>
      <c r="N17" s="5">
        <v>-3.01</v>
      </c>
      <c r="T17" s="3">
        <v>0.3</v>
      </c>
      <c r="U17" s="3">
        <v>-0.55</v>
      </c>
      <c r="V17" s="3">
        <v>-0.32</v>
      </c>
    </row>
    <row r="18">
      <c r="A18" s="2" t="s">
        <v>32</v>
      </c>
      <c r="B18" s="5">
        <v>2.2</v>
      </c>
      <c r="C18" s="5"/>
      <c r="D18" s="5"/>
      <c r="E18" s="5">
        <v>88.3</v>
      </c>
      <c r="F18" s="5"/>
      <c r="G18" s="5"/>
      <c r="H18" s="5"/>
      <c r="I18" s="5"/>
      <c r="J18" s="5">
        <v>-5.8</v>
      </c>
      <c r="K18" s="5">
        <v>3.0</v>
      </c>
      <c r="L18" s="5">
        <v>3317.4</v>
      </c>
      <c r="M18" s="5">
        <v>1.66</v>
      </c>
      <c r="N18" s="5">
        <v>1.56</v>
      </c>
      <c r="P18" s="5">
        <v>0.57</v>
      </c>
    </row>
    <row r="21" ht="15.75" customHeight="1"/>
    <row r="22" ht="15.75" customHeight="1"/>
    <row r="23" ht="15.75" customHeight="1">
      <c r="A23" s="1" t="s">
        <v>0</v>
      </c>
      <c r="B23" s="5" t="s">
        <v>33</v>
      </c>
      <c r="C23" s="5" t="s">
        <v>34</v>
      </c>
      <c r="D23" s="5" t="s">
        <v>35</v>
      </c>
      <c r="E23" s="5" t="s">
        <v>36</v>
      </c>
      <c r="F23" s="5" t="s">
        <v>37</v>
      </c>
      <c r="G23" s="5" t="s">
        <v>38</v>
      </c>
      <c r="I23" s="5" t="s">
        <v>39</v>
      </c>
      <c r="L23" s="5" t="s">
        <v>40</v>
      </c>
      <c r="M23" s="5" t="s">
        <v>41</v>
      </c>
    </row>
    <row r="24" ht="15.75" customHeight="1">
      <c r="A24" s="1" t="s">
        <v>16</v>
      </c>
      <c r="B24" s="5">
        <v>-6.0E12</v>
      </c>
      <c r="C24" s="5">
        <v>1.68E13</v>
      </c>
      <c r="D24" s="5">
        <f t="shared" ref="D24:D40" si="1">DIVIDE(B24,C24)*100</f>
        <v>-35.71428571</v>
      </c>
      <c r="E24" s="5">
        <v>-2.5E13</v>
      </c>
      <c r="F24" s="5">
        <v>2.6E13</v>
      </c>
      <c r="G24" s="3">
        <f t="shared" ref="G24:G40" si="2">DIVIDE(E24,F24)*100</f>
        <v>-96.15384615</v>
      </c>
      <c r="H24" s="3">
        <f t="shared" ref="H24:H40" si="3">DIVIDE((G24-D24),D24)*100</f>
        <v>169.2307692</v>
      </c>
      <c r="I24" s="5">
        <v>-169.0</v>
      </c>
      <c r="J24" s="3">
        <f t="shared" ref="J24:J40" si="4">E24-B24</f>
        <v>-19000000000000</v>
      </c>
      <c r="K24" s="3">
        <f t="shared" ref="K24:K40" si="5">DIVIDE(J24,B24)*100</f>
        <v>316.6666667</v>
      </c>
      <c r="L24" s="6">
        <v>-3.16</v>
      </c>
      <c r="M24" s="3">
        <f t="shared" ref="M24:M40" si="6">G24-D24</f>
        <v>-60.43956044</v>
      </c>
      <c r="N24" s="3">
        <f t="shared" ref="N24:N40" si="7">DIVIDE(D24,M24)*100</f>
        <v>59.09090909</v>
      </c>
    </row>
    <row r="25" ht="15.75" customHeight="1">
      <c r="A25" s="1" t="s">
        <v>17</v>
      </c>
      <c r="B25" s="5">
        <v>8.5E11</v>
      </c>
      <c r="C25" s="5">
        <v>3.62E12</v>
      </c>
      <c r="D25" s="5">
        <f t="shared" si="1"/>
        <v>23.48066298</v>
      </c>
      <c r="E25" s="5">
        <v>3.6E12</v>
      </c>
      <c r="F25" s="5">
        <v>4.0E12</v>
      </c>
      <c r="G25" s="3">
        <f t="shared" si="2"/>
        <v>90</v>
      </c>
      <c r="H25" s="3">
        <f t="shared" si="3"/>
        <v>283.2941176</v>
      </c>
      <c r="I25" s="5">
        <v>283.0</v>
      </c>
      <c r="J25" s="3">
        <f t="shared" si="4"/>
        <v>2750000000000</v>
      </c>
      <c r="K25" s="3">
        <f t="shared" si="5"/>
        <v>323.5294118</v>
      </c>
      <c r="L25" s="6">
        <v>3.8</v>
      </c>
      <c r="M25" s="3">
        <f t="shared" si="6"/>
        <v>66.51933702</v>
      </c>
      <c r="N25" s="3">
        <f t="shared" si="7"/>
        <v>35.29900332</v>
      </c>
    </row>
    <row r="26" ht="15.75" customHeight="1">
      <c r="A26" s="1" t="s">
        <v>18</v>
      </c>
      <c r="B26" s="5">
        <v>2.7E12</v>
      </c>
      <c r="C26" s="5">
        <v>5.04E12</v>
      </c>
      <c r="D26" s="5">
        <f t="shared" si="1"/>
        <v>53.57142857</v>
      </c>
      <c r="E26" s="5">
        <v>3.6E12</v>
      </c>
      <c r="F26" s="5">
        <v>4.0E12</v>
      </c>
      <c r="G26" s="3">
        <f t="shared" si="2"/>
        <v>90</v>
      </c>
      <c r="H26" s="3">
        <f t="shared" si="3"/>
        <v>68</v>
      </c>
      <c r="I26" s="5">
        <v>68.0</v>
      </c>
      <c r="J26" s="3">
        <f t="shared" si="4"/>
        <v>900000000000</v>
      </c>
      <c r="K26" s="3">
        <f t="shared" si="5"/>
        <v>33.33333333</v>
      </c>
      <c r="L26" s="6">
        <v>0.33</v>
      </c>
      <c r="M26" s="3">
        <f t="shared" si="6"/>
        <v>36.42857143</v>
      </c>
      <c r="N26" s="3">
        <f t="shared" si="7"/>
        <v>147.0588235</v>
      </c>
    </row>
    <row r="27" ht="15.75" customHeight="1">
      <c r="A27" s="1" t="s">
        <v>19</v>
      </c>
      <c r="B27" s="5">
        <v>-6.0E11</v>
      </c>
      <c r="C27" s="5">
        <v>2.4E12</v>
      </c>
      <c r="D27" s="5">
        <f t="shared" si="1"/>
        <v>-25</v>
      </c>
      <c r="E27" s="5">
        <v>-7.7E11</v>
      </c>
      <c r="F27" s="5">
        <v>1.9E12</v>
      </c>
      <c r="G27" s="3">
        <f t="shared" si="2"/>
        <v>-40.52631579</v>
      </c>
      <c r="H27" s="3">
        <f t="shared" si="3"/>
        <v>62.10526316</v>
      </c>
      <c r="I27" s="5">
        <v>-62.0</v>
      </c>
      <c r="J27" s="3">
        <f t="shared" si="4"/>
        <v>-170000000000</v>
      </c>
      <c r="K27" s="3">
        <f t="shared" si="5"/>
        <v>28.33333333</v>
      </c>
      <c r="L27" s="6">
        <v>-0.33</v>
      </c>
      <c r="M27" s="3">
        <f t="shared" si="6"/>
        <v>-15.52631579</v>
      </c>
      <c r="N27" s="3">
        <f t="shared" si="7"/>
        <v>161.0169492</v>
      </c>
    </row>
    <row r="28" ht="15.75" customHeight="1">
      <c r="A28" s="1" t="s">
        <v>20</v>
      </c>
      <c r="B28" s="5">
        <v>8.5E10</v>
      </c>
      <c r="C28" s="5">
        <v>1.4E12</v>
      </c>
      <c r="D28" s="5">
        <f t="shared" si="1"/>
        <v>6.071428571</v>
      </c>
      <c r="E28" s="5">
        <v>1.1E12</v>
      </c>
      <c r="F28" s="5">
        <v>1.7E12</v>
      </c>
      <c r="G28" s="3">
        <f t="shared" si="2"/>
        <v>64.70588235</v>
      </c>
      <c r="H28" s="3">
        <f t="shared" si="3"/>
        <v>965.7439446</v>
      </c>
      <c r="I28" s="5">
        <v>965.0</v>
      </c>
      <c r="J28" s="3">
        <f t="shared" si="4"/>
        <v>1015000000000</v>
      </c>
      <c r="K28" s="3">
        <f t="shared" si="5"/>
        <v>1194.117647</v>
      </c>
      <c r="L28" s="6">
        <v>11.94</v>
      </c>
      <c r="M28" s="3">
        <f t="shared" si="6"/>
        <v>58.63445378</v>
      </c>
      <c r="N28" s="3">
        <f t="shared" si="7"/>
        <v>10.35471157</v>
      </c>
    </row>
    <row r="29" ht="15.75" customHeight="1">
      <c r="A29" s="2" t="s">
        <v>21</v>
      </c>
      <c r="B29" s="5">
        <v>-5.0E11</v>
      </c>
      <c r="C29" s="5">
        <v>2.68E12</v>
      </c>
      <c r="D29" s="5">
        <f t="shared" si="1"/>
        <v>-18.65671642</v>
      </c>
      <c r="E29" s="5">
        <v>-1.0E12</v>
      </c>
      <c r="F29" s="5">
        <v>3.08E12</v>
      </c>
      <c r="G29" s="3">
        <f t="shared" si="2"/>
        <v>-32.46753247</v>
      </c>
      <c r="H29" s="3">
        <f t="shared" si="3"/>
        <v>74.02597403</v>
      </c>
      <c r="I29" s="5">
        <v>-74.0</v>
      </c>
      <c r="J29" s="3">
        <f t="shared" si="4"/>
        <v>-500000000000</v>
      </c>
      <c r="K29" s="3">
        <f t="shared" si="5"/>
        <v>100</v>
      </c>
      <c r="L29" s="6">
        <v>-1.0</v>
      </c>
      <c r="M29" s="3">
        <f t="shared" si="6"/>
        <v>-13.81081605</v>
      </c>
      <c r="N29" s="3">
        <f t="shared" si="7"/>
        <v>135.0877193</v>
      </c>
    </row>
    <row r="30" ht="15.75" customHeight="1">
      <c r="A30" s="1" t="s">
        <v>22</v>
      </c>
      <c r="B30" s="5">
        <v>1.75E11</v>
      </c>
      <c r="C30" s="5">
        <v>1.84E12</v>
      </c>
      <c r="D30" s="5">
        <f t="shared" si="1"/>
        <v>9.510869565</v>
      </c>
      <c r="E30" s="5">
        <v>1.325E12</v>
      </c>
      <c r="F30" s="5">
        <v>2.08E12</v>
      </c>
      <c r="G30" s="3">
        <f t="shared" si="2"/>
        <v>63.70192308</v>
      </c>
      <c r="H30" s="3">
        <f t="shared" si="3"/>
        <v>569.7802198</v>
      </c>
      <c r="I30" s="5">
        <v>569.0</v>
      </c>
      <c r="J30" s="3">
        <f t="shared" si="4"/>
        <v>1150000000000</v>
      </c>
      <c r="K30" s="3">
        <f t="shared" si="5"/>
        <v>657.1428571</v>
      </c>
      <c r="L30" s="6">
        <v>6.57</v>
      </c>
      <c r="M30" s="3">
        <f t="shared" si="6"/>
        <v>54.19105351</v>
      </c>
      <c r="N30" s="3">
        <f t="shared" si="7"/>
        <v>17.55062681</v>
      </c>
    </row>
    <row r="31" ht="15.75" customHeight="1">
      <c r="A31" s="1" t="s">
        <v>23</v>
      </c>
      <c r="B31" s="5">
        <v>-5.5E11</v>
      </c>
      <c r="C31" s="5">
        <v>1.28E12</v>
      </c>
      <c r="D31" s="5">
        <f t="shared" si="1"/>
        <v>-42.96875</v>
      </c>
      <c r="E31" s="5">
        <v>-6.0E11</v>
      </c>
      <c r="F31" s="5">
        <v>1.5E12</v>
      </c>
      <c r="G31" s="3">
        <f t="shared" si="2"/>
        <v>-40</v>
      </c>
      <c r="H31" s="3">
        <f t="shared" si="3"/>
        <v>-6.909090909</v>
      </c>
      <c r="I31" s="5">
        <v>6.9</v>
      </c>
      <c r="J31" s="3">
        <f t="shared" si="4"/>
        <v>-50000000000</v>
      </c>
      <c r="K31" s="3">
        <f t="shared" si="5"/>
        <v>9.090909091</v>
      </c>
      <c r="L31" s="6">
        <v>-0.09</v>
      </c>
      <c r="M31" s="3">
        <f t="shared" si="6"/>
        <v>2.96875</v>
      </c>
      <c r="N31" s="3">
        <f t="shared" si="7"/>
        <v>-1447.368421</v>
      </c>
    </row>
    <row r="32" ht="15.75" customHeight="1">
      <c r="A32" s="1" t="s">
        <v>24</v>
      </c>
      <c r="B32" s="5">
        <v>3.5E10</v>
      </c>
      <c r="C32" s="5">
        <v>6.0E11</v>
      </c>
      <c r="D32" s="5">
        <f t="shared" si="1"/>
        <v>5.833333333</v>
      </c>
      <c r="E32" s="5">
        <v>4.0E10</v>
      </c>
      <c r="F32" s="5">
        <v>6.0E11</v>
      </c>
      <c r="G32" s="3">
        <f t="shared" si="2"/>
        <v>6.666666667</v>
      </c>
      <c r="H32" s="3">
        <f t="shared" si="3"/>
        <v>14.28571429</v>
      </c>
      <c r="I32" s="5">
        <v>14.0</v>
      </c>
      <c r="J32" s="3">
        <f t="shared" si="4"/>
        <v>5000000000</v>
      </c>
      <c r="K32" s="3">
        <f t="shared" si="5"/>
        <v>14.28571429</v>
      </c>
      <c r="L32" s="6">
        <v>0.14</v>
      </c>
      <c r="M32" s="3">
        <f t="shared" si="6"/>
        <v>0.8333333333</v>
      </c>
      <c r="N32" s="3">
        <f t="shared" si="7"/>
        <v>700</v>
      </c>
    </row>
    <row r="33" ht="15.75" customHeight="1">
      <c r="A33" s="1" t="s">
        <v>25</v>
      </c>
      <c r="B33" s="5">
        <v>-2.5E10</v>
      </c>
      <c r="C33" s="5">
        <v>2.68E11</v>
      </c>
      <c r="D33" s="5">
        <f t="shared" si="1"/>
        <v>-9.328358209</v>
      </c>
      <c r="E33" s="5">
        <v>-6.0E10</v>
      </c>
      <c r="F33" s="5">
        <v>3.2E11</v>
      </c>
      <c r="G33" s="3">
        <f t="shared" si="2"/>
        <v>-18.75</v>
      </c>
      <c r="H33" s="3">
        <f t="shared" si="3"/>
        <v>101</v>
      </c>
      <c r="I33" s="5">
        <v>-101.0</v>
      </c>
      <c r="J33" s="3">
        <f t="shared" si="4"/>
        <v>-35000000000</v>
      </c>
      <c r="K33" s="3">
        <f t="shared" si="5"/>
        <v>140</v>
      </c>
      <c r="L33" s="6">
        <v>-1.4</v>
      </c>
      <c r="M33" s="3">
        <f t="shared" si="6"/>
        <v>-9.421641791</v>
      </c>
      <c r="N33" s="3">
        <f t="shared" si="7"/>
        <v>99.00990099</v>
      </c>
    </row>
    <row r="34" ht="15.75" customHeight="1">
      <c r="A34" s="1" t="s">
        <v>26</v>
      </c>
      <c r="B34" s="5">
        <v>-6.0E10</v>
      </c>
      <c r="C34" s="5">
        <v>2.0E11</v>
      </c>
      <c r="D34" s="5">
        <f t="shared" si="1"/>
        <v>-30</v>
      </c>
      <c r="E34" s="5">
        <v>-1.0E11</v>
      </c>
      <c r="F34" s="5">
        <v>2.8E11</v>
      </c>
      <c r="G34" s="3">
        <f t="shared" si="2"/>
        <v>-35.71428571</v>
      </c>
      <c r="H34" s="3">
        <f t="shared" si="3"/>
        <v>19.04761905</v>
      </c>
      <c r="I34" s="5">
        <v>-19.0</v>
      </c>
      <c r="J34" s="3">
        <f t="shared" si="4"/>
        <v>-40000000000</v>
      </c>
      <c r="K34" s="3">
        <f t="shared" si="5"/>
        <v>66.66666667</v>
      </c>
      <c r="L34" s="6">
        <v>-0.66</v>
      </c>
      <c r="M34" s="3">
        <f t="shared" si="6"/>
        <v>-5.714285714</v>
      </c>
      <c r="N34" s="3">
        <f t="shared" si="7"/>
        <v>525</v>
      </c>
    </row>
    <row r="35" ht="15.75" customHeight="1">
      <c r="A35" s="1" t="s">
        <v>27</v>
      </c>
      <c r="B35" s="5">
        <v>-1.1E11</v>
      </c>
      <c r="C35" s="5">
        <v>3.8E11</v>
      </c>
      <c r="D35" s="5">
        <f t="shared" si="1"/>
        <v>-28.94736842</v>
      </c>
      <c r="E35" s="5">
        <v>-1.8E11</v>
      </c>
      <c r="F35" s="5">
        <v>3.4E11</v>
      </c>
      <c r="G35" s="3">
        <f t="shared" si="2"/>
        <v>-52.94117647</v>
      </c>
      <c r="H35" s="3">
        <f t="shared" si="3"/>
        <v>82.88770053</v>
      </c>
      <c r="I35" s="5">
        <v>-82.0</v>
      </c>
      <c r="J35" s="3">
        <f t="shared" si="4"/>
        <v>-70000000000</v>
      </c>
      <c r="K35" s="3">
        <f t="shared" si="5"/>
        <v>63.63636364</v>
      </c>
      <c r="L35" s="6">
        <v>-0.14</v>
      </c>
      <c r="M35" s="3">
        <f t="shared" si="6"/>
        <v>-23.99380805</v>
      </c>
      <c r="N35" s="3">
        <f t="shared" si="7"/>
        <v>120.6451613</v>
      </c>
    </row>
    <row r="36" ht="15.75" customHeight="1">
      <c r="A36" s="1" t="s">
        <v>28</v>
      </c>
      <c r="B36" s="5">
        <v>-3.75E11</v>
      </c>
      <c r="C36" s="5">
        <v>1.84E12</v>
      </c>
      <c r="D36" s="5">
        <f t="shared" si="1"/>
        <v>-20.38043478</v>
      </c>
      <c r="E36" s="5">
        <v>-3.75E11</v>
      </c>
      <c r="F36" s="5">
        <v>3.4E12</v>
      </c>
      <c r="G36" s="3">
        <f t="shared" si="2"/>
        <v>-11.02941176</v>
      </c>
      <c r="H36" s="3">
        <f t="shared" si="3"/>
        <v>-45.88235294</v>
      </c>
      <c r="I36" s="5">
        <v>45.0</v>
      </c>
      <c r="J36" s="3">
        <f t="shared" si="4"/>
        <v>0</v>
      </c>
      <c r="K36" s="3">
        <f t="shared" si="5"/>
        <v>0</v>
      </c>
      <c r="L36" s="6">
        <v>0.0</v>
      </c>
      <c r="M36" s="3">
        <f t="shared" si="6"/>
        <v>9.351023018</v>
      </c>
      <c r="N36" s="3">
        <f t="shared" si="7"/>
        <v>-217.9487179</v>
      </c>
    </row>
    <row r="37" ht="15.75" customHeight="1">
      <c r="A37" s="1" t="s">
        <v>29</v>
      </c>
      <c r="B37" s="5">
        <v>2.5E10</v>
      </c>
      <c r="C37" s="5">
        <v>3.28E11</v>
      </c>
      <c r="D37" s="5">
        <f t="shared" si="1"/>
        <v>7.62195122</v>
      </c>
      <c r="E37" s="5">
        <v>1.0E9</v>
      </c>
      <c r="F37" s="5">
        <v>4.08E11</v>
      </c>
      <c r="G37" s="3">
        <f t="shared" si="2"/>
        <v>0.2450980392</v>
      </c>
      <c r="H37" s="3">
        <f t="shared" si="3"/>
        <v>-96.78431373</v>
      </c>
      <c r="I37" s="5" t="s">
        <v>42</v>
      </c>
      <c r="J37" s="3">
        <f t="shared" si="4"/>
        <v>-24000000000</v>
      </c>
      <c r="K37" s="3">
        <f t="shared" si="5"/>
        <v>-96</v>
      </c>
      <c r="L37" s="6">
        <v>-1.05</v>
      </c>
      <c r="M37" s="3">
        <f t="shared" si="6"/>
        <v>-7.37685318</v>
      </c>
      <c r="N37" s="3">
        <f t="shared" si="7"/>
        <v>-103.3225284</v>
      </c>
    </row>
    <row r="38" ht="15.75" customHeight="1">
      <c r="A38" s="1" t="s">
        <v>30</v>
      </c>
      <c r="B38" s="5">
        <v>-1.2E11</v>
      </c>
      <c r="C38" s="5">
        <v>4.2E11</v>
      </c>
      <c r="D38" s="5">
        <f t="shared" si="1"/>
        <v>-28.57142857</v>
      </c>
      <c r="E38" s="5">
        <v>7.5E10</v>
      </c>
      <c r="F38" s="5">
        <v>5.2E11</v>
      </c>
      <c r="G38" s="3">
        <f t="shared" si="2"/>
        <v>14.42307692</v>
      </c>
      <c r="H38" s="3">
        <f t="shared" si="3"/>
        <v>-150.4807692</v>
      </c>
      <c r="I38" s="5">
        <v>151.0</v>
      </c>
      <c r="J38" s="3">
        <f t="shared" si="4"/>
        <v>195000000000</v>
      </c>
      <c r="K38" s="3">
        <f t="shared" si="5"/>
        <v>-162.5</v>
      </c>
      <c r="L38" s="6">
        <v>1.75</v>
      </c>
      <c r="M38" s="3">
        <f t="shared" si="6"/>
        <v>42.99450549</v>
      </c>
      <c r="N38" s="3">
        <f t="shared" si="7"/>
        <v>-66.45367412</v>
      </c>
    </row>
    <row r="39" ht="15.75" customHeight="1">
      <c r="A39" s="1" t="s">
        <v>31</v>
      </c>
      <c r="B39" s="5">
        <v>-4.0E11</v>
      </c>
      <c r="C39" s="5">
        <v>9.0E11</v>
      </c>
      <c r="D39" s="5">
        <f t="shared" si="1"/>
        <v>-44.44444444</v>
      </c>
      <c r="E39" s="5">
        <v>-3.0E11</v>
      </c>
      <c r="F39" s="5">
        <v>9.8E11</v>
      </c>
      <c r="G39" s="3">
        <f t="shared" si="2"/>
        <v>-30.6122449</v>
      </c>
      <c r="H39" s="3">
        <f t="shared" si="3"/>
        <v>-31.12244898</v>
      </c>
      <c r="I39" s="5">
        <v>31.0</v>
      </c>
      <c r="J39" s="3">
        <f t="shared" si="4"/>
        <v>100000000000</v>
      </c>
      <c r="K39" s="3">
        <f t="shared" si="5"/>
        <v>-25</v>
      </c>
      <c r="L39" s="6">
        <v>0.25</v>
      </c>
      <c r="M39" s="3">
        <f t="shared" si="6"/>
        <v>13.83219955</v>
      </c>
      <c r="N39" s="3">
        <f t="shared" si="7"/>
        <v>-321.3114754</v>
      </c>
    </row>
    <row r="40" ht="15.75" customHeight="1">
      <c r="A40" s="2" t="s">
        <v>32</v>
      </c>
      <c r="B40" s="5">
        <v>1.4E12</v>
      </c>
      <c r="C40" s="5">
        <v>1.0E13</v>
      </c>
      <c r="D40" s="5">
        <f t="shared" si="1"/>
        <v>14</v>
      </c>
      <c r="E40" s="5">
        <v>3.25E12</v>
      </c>
      <c r="F40" s="5">
        <v>1.8E13</v>
      </c>
      <c r="G40" s="3">
        <f t="shared" si="2"/>
        <v>18.05555556</v>
      </c>
      <c r="H40" s="3">
        <f t="shared" si="3"/>
        <v>28.96825397</v>
      </c>
      <c r="I40" s="5">
        <v>28.0</v>
      </c>
      <c r="J40" s="3">
        <f t="shared" si="4"/>
        <v>1850000000000</v>
      </c>
      <c r="K40" s="3">
        <f t="shared" si="5"/>
        <v>132.1428571</v>
      </c>
      <c r="L40" s="6">
        <v>1.6</v>
      </c>
      <c r="M40" s="3">
        <f t="shared" si="6"/>
        <v>4.055555556</v>
      </c>
      <c r="N40" s="3">
        <f t="shared" si="7"/>
        <v>345.2054795</v>
      </c>
    </row>
    <row r="41" ht="15.75" customHeight="1">
      <c r="C41" s="5" t="s">
        <v>43</v>
      </c>
      <c r="D41" s="5" t="s">
        <v>44</v>
      </c>
    </row>
    <row r="42" ht="15.75" customHeight="1">
      <c r="A42" s="7" t="s">
        <v>24</v>
      </c>
      <c r="B42" s="8">
        <v>29.56</v>
      </c>
      <c r="C42" s="5">
        <v>6.0E11</v>
      </c>
      <c r="D42" s="9">
        <f t="shared" ref="D42:D58" si="8">B42*1000000000</f>
        <v>29560000000</v>
      </c>
      <c r="E42" s="9">
        <f t="shared" ref="E42:E58" si="9">DIVIDE(D42,C42)*100</f>
        <v>4.926666667</v>
      </c>
    </row>
    <row r="43" ht="15.75" customHeight="1">
      <c r="A43" s="10" t="s">
        <v>19</v>
      </c>
      <c r="B43" s="11">
        <v>329.73</v>
      </c>
      <c r="C43" s="5">
        <v>1.9E12</v>
      </c>
      <c r="D43" s="9">
        <f t="shared" si="8"/>
        <v>329730000000</v>
      </c>
      <c r="E43" s="9">
        <f t="shared" si="9"/>
        <v>17.35421053</v>
      </c>
    </row>
    <row r="44" ht="15.75" customHeight="1">
      <c r="A44" s="7" t="s">
        <v>22</v>
      </c>
      <c r="B44" s="8">
        <v>119.78</v>
      </c>
      <c r="C44" s="5">
        <v>2.08E12</v>
      </c>
      <c r="D44" s="9">
        <f t="shared" si="8"/>
        <v>119780000000</v>
      </c>
      <c r="E44" s="9">
        <f t="shared" si="9"/>
        <v>5.758653846</v>
      </c>
    </row>
    <row r="45" ht="15.75" customHeight="1">
      <c r="A45" s="10" t="s">
        <v>32</v>
      </c>
      <c r="B45" s="11">
        <v>3317.4</v>
      </c>
      <c r="C45" s="5">
        <v>1.8E13</v>
      </c>
      <c r="D45" s="9">
        <f t="shared" si="8"/>
        <v>3317400000000</v>
      </c>
      <c r="E45" s="9">
        <f t="shared" si="9"/>
        <v>18.43</v>
      </c>
    </row>
    <row r="46" ht="15.75" customHeight="1">
      <c r="A46" s="7" t="s">
        <v>25</v>
      </c>
      <c r="B46" s="8">
        <v>44.4</v>
      </c>
      <c r="C46" s="5">
        <v>3.2E11</v>
      </c>
      <c r="D46" s="9">
        <f t="shared" si="8"/>
        <v>44400000000</v>
      </c>
      <c r="E46" s="9">
        <f t="shared" si="9"/>
        <v>13.875</v>
      </c>
      <c r="H46" s="1" t="s">
        <v>24</v>
      </c>
      <c r="I46" s="5">
        <v>6.0E11</v>
      </c>
    </row>
    <row r="47" ht="15.75" customHeight="1">
      <c r="A47" s="12" t="s">
        <v>27</v>
      </c>
      <c r="B47" s="11">
        <v>62.9</v>
      </c>
      <c r="C47" s="5">
        <v>3.4E11</v>
      </c>
      <c r="D47" s="9">
        <f t="shared" si="8"/>
        <v>62900000000</v>
      </c>
      <c r="E47" s="9">
        <f t="shared" si="9"/>
        <v>18.5</v>
      </c>
      <c r="H47" s="1" t="s">
        <v>19</v>
      </c>
      <c r="I47" s="5">
        <v>1.9E12</v>
      </c>
    </row>
    <row r="48" ht="15.75" customHeight="1">
      <c r="A48" s="7" t="s">
        <v>17</v>
      </c>
      <c r="B48" s="8">
        <v>377.94</v>
      </c>
      <c r="C48" s="5">
        <v>4.0E12</v>
      </c>
      <c r="D48" s="9">
        <f t="shared" si="8"/>
        <v>377940000000</v>
      </c>
      <c r="E48" s="9">
        <f t="shared" si="9"/>
        <v>9.4485</v>
      </c>
      <c r="H48" s="1" t="s">
        <v>22</v>
      </c>
      <c r="I48" s="5">
        <v>2.08E12</v>
      </c>
    </row>
    <row r="49" ht="15.75" customHeight="1">
      <c r="A49" s="10" t="s">
        <v>21</v>
      </c>
      <c r="B49" s="11">
        <v>203.0</v>
      </c>
      <c r="C49" s="5">
        <v>3.08E12</v>
      </c>
      <c r="D49" s="9">
        <f t="shared" si="8"/>
        <v>203000000000</v>
      </c>
      <c r="E49" s="9">
        <f t="shared" si="9"/>
        <v>6.590909091</v>
      </c>
      <c r="H49" s="2" t="s">
        <v>32</v>
      </c>
      <c r="I49" s="5">
        <v>1.8E13</v>
      </c>
    </row>
    <row r="50" ht="15.75" customHeight="1">
      <c r="A50" s="7" t="s">
        <v>28</v>
      </c>
      <c r="B50" s="8">
        <v>643.04</v>
      </c>
      <c r="C50" s="5">
        <v>3.4E12</v>
      </c>
      <c r="D50" s="9">
        <f t="shared" si="8"/>
        <v>643040000000</v>
      </c>
      <c r="E50" s="9">
        <f t="shared" si="9"/>
        <v>18.91294118</v>
      </c>
      <c r="H50" s="1" t="s">
        <v>25</v>
      </c>
      <c r="I50" s="5">
        <v>3.2E11</v>
      </c>
    </row>
    <row r="51" ht="15.75" customHeight="1">
      <c r="A51" s="10" t="s">
        <v>18</v>
      </c>
      <c r="B51" s="11">
        <v>1230.67</v>
      </c>
      <c r="C51" s="5">
        <v>4.0E12</v>
      </c>
      <c r="D51" s="9">
        <f t="shared" si="8"/>
        <v>1230670000000</v>
      </c>
      <c r="E51" s="9">
        <f t="shared" si="9"/>
        <v>30.76675</v>
      </c>
      <c r="H51" s="1" t="s">
        <v>27</v>
      </c>
      <c r="I51" s="5">
        <v>3.4E11</v>
      </c>
    </row>
    <row r="52" ht="15.75" customHeight="1">
      <c r="A52" s="7" t="s">
        <v>20</v>
      </c>
      <c r="B52" s="8">
        <v>418.22</v>
      </c>
      <c r="C52" s="5">
        <v>1.7E12</v>
      </c>
      <c r="D52" s="9">
        <f t="shared" si="8"/>
        <v>418220000000</v>
      </c>
      <c r="E52" s="9">
        <f t="shared" si="9"/>
        <v>24.60117647</v>
      </c>
      <c r="H52" s="1" t="s">
        <v>17</v>
      </c>
      <c r="I52" s="5">
        <v>4.0E12</v>
      </c>
    </row>
    <row r="53" ht="15.75" customHeight="1">
      <c r="A53" s="10" t="s">
        <v>23</v>
      </c>
      <c r="B53" s="11">
        <v>232.04</v>
      </c>
      <c r="C53" s="5">
        <v>1.5E12</v>
      </c>
      <c r="D53" s="9">
        <f t="shared" si="8"/>
        <v>232040000000</v>
      </c>
      <c r="E53" s="9">
        <f t="shared" si="9"/>
        <v>15.46933333</v>
      </c>
      <c r="H53" s="2" t="s">
        <v>21</v>
      </c>
      <c r="I53" s="5">
        <v>3.08E12</v>
      </c>
    </row>
    <row r="54" ht="15.75" customHeight="1">
      <c r="A54" s="7" t="s">
        <v>29</v>
      </c>
      <c r="B54" s="8">
        <v>116.23</v>
      </c>
      <c r="C54" s="5">
        <v>4.08E11</v>
      </c>
      <c r="D54" s="9">
        <f t="shared" si="8"/>
        <v>116230000000</v>
      </c>
      <c r="E54" s="9">
        <f t="shared" si="9"/>
        <v>28.4877451</v>
      </c>
      <c r="H54" s="1" t="s">
        <v>28</v>
      </c>
      <c r="I54" s="5">
        <v>3.4E12</v>
      </c>
    </row>
    <row r="55" ht="15.75" customHeight="1">
      <c r="A55" s="10" t="s">
        <v>26</v>
      </c>
      <c r="B55" s="11">
        <v>79.25</v>
      </c>
      <c r="C55" s="5">
        <v>2.8E11</v>
      </c>
      <c r="D55" s="9">
        <f t="shared" si="8"/>
        <v>79250000000</v>
      </c>
      <c r="E55" s="9">
        <f t="shared" si="9"/>
        <v>28.30357143</v>
      </c>
      <c r="H55" s="1" t="s">
        <v>18</v>
      </c>
      <c r="I55" s="5">
        <v>4.0E12</v>
      </c>
    </row>
    <row r="56" ht="15.75" customHeight="1">
      <c r="A56" s="7" t="s">
        <v>30</v>
      </c>
      <c r="B56" s="8">
        <v>236.93</v>
      </c>
      <c r="C56" s="5">
        <v>5.2E11</v>
      </c>
      <c r="D56" s="9">
        <f t="shared" si="8"/>
        <v>236930000000</v>
      </c>
      <c r="E56" s="9">
        <f t="shared" si="9"/>
        <v>45.56346154</v>
      </c>
      <c r="H56" s="1" t="s">
        <v>20</v>
      </c>
      <c r="I56" s="5">
        <v>1.7E12</v>
      </c>
    </row>
    <row r="57" ht="15.75" customHeight="1">
      <c r="A57" s="10" t="s">
        <v>31</v>
      </c>
      <c r="B57" s="11">
        <v>95.0</v>
      </c>
      <c r="C57" s="5">
        <v>9.8E11</v>
      </c>
      <c r="D57" s="9">
        <f t="shared" si="8"/>
        <v>95000000000</v>
      </c>
      <c r="E57" s="9">
        <f t="shared" si="9"/>
        <v>9.693877551</v>
      </c>
      <c r="H57" s="1" t="s">
        <v>23</v>
      </c>
      <c r="I57" s="5">
        <v>1.5E12</v>
      </c>
    </row>
    <row r="58" ht="15.75" customHeight="1">
      <c r="A58" s="13" t="s">
        <v>16</v>
      </c>
      <c r="B58" s="14">
        <v>40.0</v>
      </c>
      <c r="C58" s="5">
        <v>2.6E13</v>
      </c>
      <c r="D58" s="9">
        <f t="shared" si="8"/>
        <v>40000000000</v>
      </c>
      <c r="E58" s="9">
        <f t="shared" si="9"/>
        <v>0.1538461538</v>
      </c>
      <c r="H58" s="1" t="s">
        <v>29</v>
      </c>
      <c r="I58" s="5">
        <v>4.08E11</v>
      </c>
    </row>
    <row r="59" ht="15.75" customHeight="1">
      <c r="H59" s="1" t="s">
        <v>26</v>
      </c>
      <c r="I59" s="5">
        <v>2.8E11</v>
      </c>
    </row>
    <row r="60" ht="15.75" customHeight="1">
      <c r="H60" s="1" t="s">
        <v>30</v>
      </c>
      <c r="I60" s="5">
        <v>5.2E11</v>
      </c>
    </row>
    <row r="61" ht="15.75" customHeight="1">
      <c r="A61" s="15" t="s">
        <v>0</v>
      </c>
      <c r="B61" s="15" t="s">
        <v>45</v>
      </c>
      <c r="C61" s="15" t="s">
        <v>46</v>
      </c>
      <c r="D61" s="15" t="s">
        <v>47</v>
      </c>
      <c r="E61" s="15" t="s">
        <v>48</v>
      </c>
      <c r="H61" s="1" t="s">
        <v>31</v>
      </c>
      <c r="I61" s="5">
        <v>9.8E11</v>
      </c>
    </row>
    <row r="62" ht="15.75" customHeight="1">
      <c r="A62" s="16" t="s">
        <v>49</v>
      </c>
      <c r="B62" s="5">
        <v>14.87</v>
      </c>
      <c r="C62" s="5">
        <v>14.43</v>
      </c>
      <c r="D62" s="5">
        <v>1.58</v>
      </c>
      <c r="E62" s="16" t="s">
        <v>50</v>
      </c>
      <c r="H62" s="1" t="s">
        <v>16</v>
      </c>
      <c r="I62" s="5">
        <v>2.6E13</v>
      </c>
    </row>
    <row r="63" ht="15.75" customHeight="1">
      <c r="A63" s="16" t="s">
        <v>51</v>
      </c>
      <c r="B63" s="5">
        <v>11.43</v>
      </c>
      <c r="C63" s="5">
        <v>14.65</v>
      </c>
      <c r="D63" s="5">
        <v>1.8</v>
      </c>
      <c r="E63" s="16" t="s">
        <v>52</v>
      </c>
    </row>
    <row r="64" ht="15.75" customHeight="1">
      <c r="A64" s="16" t="s">
        <v>53</v>
      </c>
      <c r="B64" s="5">
        <v>11.58</v>
      </c>
      <c r="C64" s="5">
        <v>10.5</v>
      </c>
      <c r="D64" s="5">
        <v>2.34</v>
      </c>
      <c r="E64" s="16" t="s">
        <v>54</v>
      </c>
    </row>
    <row r="65" ht="15.75" customHeight="1">
      <c r="A65" s="16" t="s">
        <v>55</v>
      </c>
      <c r="B65" s="5">
        <v>10.41</v>
      </c>
      <c r="C65" s="5">
        <v>9.84</v>
      </c>
      <c r="D65" s="5">
        <v>1.53</v>
      </c>
      <c r="E65" s="16" t="s">
        <v>56</v>
      </c>
    </row>
    <row r="66" ht="15.75" customHeight="1">
      <c r="A66" s="16" t="s">
        <v>57</v>
      </c>
      <c r="B66" s="5">
        <v>18.61</v>
      </c>
      <c r="C66" s="5">
        <v>12.35</v>
      </c>
      <c r="D66" s="5">
        <v>1.18</v>
      </c>
      <c r="E66" s="16" t="s">
        <v>58</v>
      </c>
    </row>
    <row r="67" ht="15.75" customHeight="1">
      <c r="A67" s="16" t="s">
        <v>59</v>
      </c>
      <c r="B67" s="5">
        <v>17.81</v>
      </c>
      <c r="C67" s="5">
        <v>12.2</v>
      </c>
      <c r="D67" s="5">
        <v>1.49</v>
      </c>
      <c r="E67" s="16" t="s">
        <v>58</v>
      </c>
    </row>
    <row r="68" ht="15.75" customHeight="1">
      <c r="A68" s="16" t="s">
        <v>60</v>
      </c>
      <c r="B68" s="5">
        <v>25.34</v>
      </c>
      <c r="C68" s="5">
        <v>16.38</v>
      </c>
      <c r="D68" s="5">
        <v>2.55</v>
      </c>
      <c r="E68" s="16" t="s">
        <v>61</v>
      </c>
    </row>
    <row r="69" ht="15.75" customHeight="1">
      <c r="A69" s="16" t="s">
        <v>62</v>
      </c>
      <c r="B69" s="5">
        <v>11.82</v>
      </c>
      <c r="C69" s="5">
        <v>9.81</v>
      </c>
      <c r="D69" s="5">
        <v>0.89</v>
      </c>
      <c r="E69" s="16" t="s">
        <v>63</v>
      </c>
    </row>
    <row r="70" ht="15.75" customHeight="1">
      <c r="A70" s="16" t="s">
        <v>64</v>
      </c>
      <c r="B70" s="5">
        <v>11.37</v>
      </c>
      <c r="C70" s="5">
        <v>12.39</v>
      </c>
      <c r="D70" s="5">
        <v>1.52</v>
      </c>
      <c r="E70" s="16" t="s">
        <v>65</v>
      </c>
    </row>
    <row r="71" ht="15.75" customHeight="1">
      <c r="A71" s="16" t="s">
        <v>66</v>
      </c>
      <c r="B71" s="5">
        <v>8.24</v>
      </c>
      <c r="C71" s="5">
        <v>12.74</v>
      </c>
      <c r="D71" s="5">
        <v>2.96</v>
      </c>
      <c r="E71" s="16" t="s">
        <v>67</v>
      </c>
    </row>
    <row r="72" ht="15.75" customHeight="1">
      <c r="A72" s="16" t="s">
        <v>68</v>
      </c>
      <c r="B72" s="5">
        <v>10.32</v>
      </c>
      <c r="C72" s="5">
        <v>7.94</v>
      </c>
      <c r="D72" s="5">
        <v>1.62</v>
      </c>
      <c r="E72" s="16" t="s">
        <v>69</v>
      </c>
    </row>
    <row r="73" ht="15.75" customHeight="1">
      <c r="A73" s="16" t="s">
        <v>70</v>
      </c>
      <c r="B73" s="5">
        <v>13.79</v>
      </c>
      <c r="C73" s="5">
        <v>14.64</v>
      </c>
      <c r="D73" s="5">
        <v>0.83</v>
      </c>
      <c r="E73" s="16" t="s">
        <v>71</v>
      </c>
    </row>
    <row r="74" ht="15.75" customHeight="1">
      <c r="A74" s="16" t="s">
        <v>72</v>
      </c>
      <c r="B74" s="5">
        <v>14.6</v>
      </c>
      <c r="C74" s="5">
        <v>15.69</v>
      </c>
      <c r="D74" s="5">
        <v>1.3</v>
      </c>
      <c r="E74" s="16" t="s">
        <v>73</v>
      </c>
    </row>
    <row r="75" ht="15.75" customHeight="1">
      <c r="A75" s="16" t="s">
        <v>74</v>
      </c>
      <c r="B75" s="5">
        <v>10.21</v>
      </c>
      <c r="C75" s="5">
        <v>11.02</v>
      </c>
      <c r="D75" s="5">
        <v>1.69</v>
      </c>
      <c r="E75" s="16" t="s">
        <v>75</v>
      </c>
    </row>
    <row r="76" ht="15.75" customHeight="1">
      <c r="A76" s="16" t="s">
        <v>76</v>
      </c>
      <c r="B76" s="5">
        <v>21.35</v>
      </c>
      <c r="C76" s="5">
        <v>14.3</v>
      </c>
      <c r="D76" s="5">
        <v>1.09</v>
      </c>
      <c r="E76" s="16" t="s">
        <v>58</v>
      </c>
    </row>
    <row r="77" ht="15.75" customHeight="1">
      <c r="A77" s="16" t="s">
        <v>77</v>
      </c>
      <c r="B77" s="5">
        <v>24.72</v>
      </c>
      <c r="C77" s="5">
        <v>17.67</v>
      </c>
      <c r="D77" s="5">
        <v>2.66</v>
      </c>
      <c r="E77" s="16" t="s">
        <v>78</v>
      </c>
    </row>
    <row r="78" ht="15.75" customHeight="1">
      <c r="A78" s="16" t="s">
        <v>79</v>
      </c>
      <c r="B78" s="5">
        <v>12.51</v>
      </c>
      <c r="C78" s="5">
        <v>14.23</v>
      </c>
      <c r="D78" s="5">
        <v>1.76</v>
      </c>
      <c r="E78" s="16" t="s">
        <v>80</v>
      </c>
    </row>
    <row r="79" ht="15.75" customHeight="1">
      <c r="B79" s="5" t="s">
        <v>81</v>
      </c>
      <c r="D79" s="5" t="s">
        <v>82</v>
      </c>
    </row>
    <row r="80" ht="15.75" customHeight="1">
      <c r="A80" s="5" t="s">
        <v>83</v>
      </c>
      <c r="B80" s="5">
        <v>6.49E9</v>
      </c>
      <c r="C80" s="5">
        <v>6.0E11</v>
      </c>
      <c r="D80" s="3">
        <f t="shared" ref="D80:D96" si="10">DIVIDE(B80,C80)*100</f>
        <v>1.081666667</v>
      </c>
    </row>
    <row r="81" ht="15.75" customHeight="1">
      <c r="A81" s="5" t="s">
        <v>84</v>
      </c>
      <c r="B81" s="5">
        <v>3.9405E10</v>
      </c>
      <c r="C81" s="5">
        <v>1.9E12</v>
      </c>
      <c r="D81" s="3">
        <f t="shared" si="10"/>
        <v>2.073947368</v>
      </c>
    </row>
    <row r="82" ht="15.75" customHeight="1">
      <c r="A82" s="5" t="s">
        <v>85</v>
      </c>
      <c r="B82" s="5">
        <v>4.3675E11</v>
      </c>
      <c r="C82" s="5">
        <v>2.08E12</v>
      </c>
      <c r="D82" s="3">
        <f t="shared" si="10"/>
        <v>20.99759615</v>
      </c>
    </row>
    <row r="83" ht="15.75" customHeight="1">
      <c r="A83" s="5" t="s">
        <v>86</v>
      </c>
      <c r="B83" s="5">
        <v>5.24297E11</v>
      </c>
      <c r="C83" s="5">
        <v>1.8E13</v>
      </c>
      <c r="D83" s="3">
        <f t="shared" si="10"/>
        <v>2.912761111</v>
      </c>
    </row>
    <row r="84" ht="15.75" customHeight="1">
      <c r="A84" s="5" t="s">
        <v>87</v>
      </c>
      <c r="B84" s="5">
        <v>1.5345E10</v>
      </c>
      <c r="C84" s="5">
        <v>3.2E11</v>
      </c>
      <c r="D84" s="3">
        <f t="shared" si="10"/>
        <v>4.7953125</v>
      </c>
    </row>
    <row r="85" ht="15.75" customHeight="1">
      <c r="A85" s="5" t="s">
        <v>88</v>
      </c>
      <c r="B85" s="5">
        <v>1.4952E10</v>
      </c>
      <c r="C85" s="5">
        <v>3.4E11</v>
      </c>
      <c r="D85" s="3">
        <f t="shared" si="10"/>
        <v>4.397647059</v>
      </c>
    </row>
    <row r="86" ht="15.75" customHeight="1">
      <c r="A86" s="5" t="s">
        <v>89</v>
      </c>
      <c r="B86" s="5">
        <v>1.74729E11</v>
      </c>
      <c r="C86" s="5">
        <v>4.0E12</v>
      </c>
      <c r="D86" s="3">
        <f t="shared" si="10"/>
        <v>4.368225</v>
      </c>
    </row>
    <row r="87" ht="15.75" customHeight="1">
      <c r="A87" s="5" t="s">
        <v>90</v>
      </c>
      <c r="B87" s="5">
        <v>7.3224E10</v>
      </c>
      <c r="C87" s="5">
        <v>3.08E12</v>
      </c>
      <c r="D87" s="3">
        <f t="shared" si="10"/>
        <v>2.377402597</v>
      </c>
    </row>
    <row r="88" ht="15.75" customHeight="1">
      <c r="A88" s="5" t="s">
        <v>28</v>
      </c>
      <c r="B88" s="5">
        <v>8.0676E10</v>
      </c>
      <c r="C88" s="5">
        <v>3.4E12</v>
      </c>
      <c r="D88" s="3">
        <f t="shared" si="10"/>
        <v>2.372823529</v>
      </c>
    </row>
    <row r="89" ht="15.75" customHeight="1">
      <c r="A89" s="5" t="s">
        <v>91</v>
      </c>
      <c r="B89" s="5">
        <v>1.417E11</v>
      </c>
      <c r="C89" s="5">
        <v>4.0E12</v>
      </c>
      <c r="D89" s="3">
        <f t="shared" si="10"/>
        <v>3.5425</v>
      </c>
    </row>
    <row r="90" ht="15.75" customHeight="1">
      <c r="A90" s="5" t="s">
        <v>20</v>
      </c>
      <c r="B90" s="5">
        <v>1.26898E11</v>
      </c>
      <c r="C90" s="5">
        <v>1.7E12</v>
      </c>
      <c r="D90" s="3">
        <f t="shared" si="10"/>
        <v>7.464588235</v>
      </c>
    </row>
    <row r="91" ht="15.75" customHeight="1">
      <c r="A91" s="5" t="s">
        <v>92</v>
      </c>
      <c r="B91" s="5">
        <v>5.15434E11</v>
      </c>
      <c r="C91" s="5">
        <v>1.5E12</v>
      </c>
      <c r="D91" s="3">
        <f t="shared" si="10"/>
        <v>34.36226667</v>
      </c>
    </row>
    <row r="92" ht="15.75" customHeight="1">
      <c r="A92" s="5" t="s">
        <v>93</v>
      </c>
      <c r="B92" s="5">
        <v>4.466E10</v>
      </c>
      <c r="C92" s="5">
        <v>4.08E11</v>
      </c>
      <c r="D92" s="3">
        <f t="shared" si="10"/>
        <v>10.94607843</v>
      </c>
    </row>
    <row r="93" ht="15.75" customHeight="1">
      <c r="A93" s="5" t="s">
        <v>94</v>
      </c>
      <c r="B93" s="5">
        <v>9.48E9</v>
      </c>
      <c r="C93" s="5">
        <v>2.8E11</v>
      </c>
      <c r="D93" s="3">
        <f t="shared" si="10"/>
        <v>3.385714286</v>
      </c>
    </row>
    <row r="94" ht="15.75" customHeight="1">
      <c r="A94" s="5" t="s">
        <v>95</v>
      </c>
      <c r="C94" s="5">
        <v>5.2E11</v>
      </c>
      <c r="D94" s="3">
        <f t="shared" si="10"/>
        <v>0</v>
      </c>
    </row>
    <row r="95" ht="15.75" customHeight="1">
      <c r="A95" s="5" t="s">
        <v>96</v>
      </c>
      <c r="B95" s="5">
        <v>1.6509E10</v>
      </c>
      <c r="C95" s="5">
        <v>9.8E11</v>
      </c>
      <c r="D95" s="3">
        <f t="shared" si="10"/>
        <v>1.684591837</v>
      </c>
    </row>
    <row r="96" ht="15.75" customHeight="1">
      <c r="A96" s="5" t="s">
        <v>97</v>
      </c>
      <c r="B96" s="5">
        <v>0.0</v>
      </c>
      <c r="C96" s="5">
        <v>2.6E13</v>
      </c>
      <c r="D96" s="3">
        <f t="shared" si="10"/>
        <v>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>
      <c r="A2" s="1" t="s">
        <v>16</v>
      </c>
      <c r="B2" s="17">
        <v>-3.88426682437385</v>
      </c>
      <c r="C2" s="18">
        <v>114.755553330184</v>
      </c>
      <c r="D2" s="19"/>
      <c r="E2" s="19"/>
      <c r="F2" s="18">
        <v>910.0365466515</v>
      </c>
      <c r="G2" s="18">
        <v>4.38</v>
      </c>
      <c r="H2" s="20">
        <v>1.440474795147929</v>
      </c>
      <c r="I2" s="19"/>
      <c r="J2" s="21">
        <v>0.8985081928982971</v>
      </c>
      <c r="K2" s="19"/>
      <c r="L2" s="19"/>
      <c r="M2" s="22">
        <v>0.9705165842849558</v>
      </c>
      <c r="N2" s="3">
        <v>0.4125380440795015</v>
      </c>
      <c r="O2" s="3">
        <v>2.074812845554827</v>
      </c>
    </row>
    <row r="3">
      <c r="A3" s="1" t="s">
        <v>17</v>
      </c>
      <c r="B3" s="18">
        <v>5.73091235034847</v>
      </c>
      <c r="C3" s="19"/>
      <c r="D3" s="19"/>
      <c r="E3" s="19"/>
      <c r="F3" s="18">
        <v>377.935574356242</v>
      </c>
      <c r="G3" s="18">
        <v>2.517</v>
      </c>
      <c r="H3" s="23">
        <v>-0.07760925449871031</v>
      </c>
      <c r="I3" s="19"/>
      <c r="J3" s="24">
        <v>0.6134017670910643</v>
      </c>
      <c r="K3" s="19"/>
      <c r="L3" s="19"/>
      <c r="M3" s="25">
        <v>0.2258734803119772</v>
      </c>
      <c r="N3" s="3">
        <v>0.2801840956505633</v>
      </c>
      <c r="O3" s="3">
        <v>-0.5825307496137019</v>
      </c>
    </row>
    <row r="4">
      <c r="A4" s="1" t="s">
        <v>18</v>
      </c>
      <c r="B4" s="18">
        <v>4.82480926257698</v>
      </c>
      <c r="C4" s="18">
        <v>215.90635961078</v>
      </c>
      <c r="D4" s="19"/>
      <c r="E4" s="19"/>
      <c r="F4" s="18">
        <v>1230.66697904245</v>
      </c>
      <c r="G4" s="26">
        <v>1.42</v>
      </c>
      <c r="H4" s="27">
        <v>-1.64853681635241</v>
      </c>
      <c r="I4" s="19"/>
      <c r="J4" s="28">
        <v>0.6332601918471711</v>
      </c>
      <c r="K4" s="19"/>
      <c r="L4" s="19"/>
      <c r="M4" s="29">
        <v>0.0648941250869435</v>
      </c>
      <c r="N4" s="3">
        <v>0.8739376776798075</v>
      </c>
      <c r="O4" s="3">
        <v>-1.157003884836782</v>
      </c>
    </row>
    <row r="5">
      <c r="A5" s="1" t="s">
        <v>19</v>
      </c>
      <c r="B5" s="17">
        <v>-2.80783369862457</v>
      </c>
      <c r="C5" s="18">
        <v>83.0317498523878</v>
      </c>
      <c r="D5" s="19"/>
      <c r="E5" s="19"/>
      <c r="F5" s="18">
        <v>329.732443813378</v>
      </c>
      <c r="G5" s="19"/>
      <c r="H5" s="19"/>
      <c r="I5" s="19"/>
      <c r="J5" s="19"/>
      <c r="K5" s="19"/>
      <c r="L5" s="19"/>
      <c r="M5" s="30">
        <v>0.3796712537738572</v>
      </c>
      <c r="N5" s="3">
        <v>-0.3180504482626171</v>
      </c>
      <c r="O5" s="3">
        <v>-0.03368590558095864</v>
      </c>
    </row>
    <row r="6">
      <c r="A6" s="1" t="s">
        <v>20</v>
      </c>
      <c r="B6" s="31">
        <v>1.91626791993389</v>
      </c>
      <c r="C6" s="18">
        <v>52.2965549034288</v>
      </c>
      <c r="D6" s="19"/>
      <c r="E6" s="19"/>
      <c r="F6" s="18">
        <v>418.218648901669</v>
      </c>
      <c r="G6" s="18">
        <v>2.842</v>
      </c>
      <c r="H6" s="32">
        <v>0.4492567135645803</v>
      </c>
      <c r="I6" s="19"/>
      <c r="J6" s="33">
        <v>-0.08385951595677855</v>
      </c>
      <c r="K6" s="19"/>
      <c r="L6" s="19"/>
      <c r="M6" s="34">
        <v>0.08143949569619725</v>
      </c>
      <c r="N6" s="3">
        <v>-0.362650967120266</v>
      </c>
      <c r="O6" s="3">
        <v>-1.097959848326393</v>
      </c>
    </row>
    <row r="7">
      <c r="A7" s="1" t="s">
        <v>21</v>
      </c>
      <c r="B7" s="17">
        <v>-2.65199665914344</v>
      </c>
      <c r="C7" s="18">
        <v>138.644282850488</v>
      </c>
      <c r="D7" s="19"/>
      <c r="E7" s="19"/>
      <c r="F7" s="18">
        <v>174.597843325182</v>
      </c>
      <c r="G7" s="18">
        <v>4.5248</v>
      </c>
      <c r="H7" s="35">
        <v>1.1629270536408</v>
      </c>
      <c r="I7" s="19"/>
      <c r="J7" s="36">
        <v>0.6867754141286709</v>
      </c>
      <c r="K7" s="19"/>
      <c r="L7" s="19"/>
      <c r="M7" s="37">
        <v>0.1348665099341103</v>
      </c>
      <c r="N7" s="3">
        <v>0.08019895520530068</v>
      </c>
      <c r="O7" s="3">
        <v>-0.907299472454238</v>
      </c>
    </row>
    <row r="8">
      <c r="A8" s="1" t="s">
        <v>22</v>
      </c>
      <c r="B8" s="38">
        <v>-0.461744367419551</v>
      </c>
      <c r="C8" s="18">
        <v>61.3446678551099</v>
      </c>
      <c r="D8" s="19"/>
      <c r="E8" s="19"/>
      <c r="F8" s="18">
        <v>119.778473396958</v>
      </c>
      <c r="G8" s="18">
        <v>3.312380952380951</v>
      </c>
      <c r="H8" s="39">
        <v>0.7799161671882705</v>
      </c>
      <c r="I8" s="19"/>
      <c r="J8" s="40">
        <v>0.4746617022096863</v>
      </c>
      <c r="K8" s="19"/>
      <c r="L8" s="19"/>
      <c r="M8" s="41">
        <v>0.7962642841956881</v>
      </c>
      <c r="N8" s="3">
        <v>-0.2767472498717771</v>
      </c>
      <c r="O8" s="3">
        <v>1.452973697223168</v>
      </c>
    </row>
    <row r="9">
      <c r="A9" s="1" t="s">
        <v>23</v>
      </c>
      <c r="B9" s="42">
        <v>-0.323080549100361</v>
      </c>
      <c r="C9" s="18">
        <v>45.1431938521023</v>
      </c>
      <c r="D9" s="19"/>
      <c r="E9" s="19"/>
      <c r="F9" s="18">
        <v>232.035392464815</v>
      </c>
      <c r="G9" s="18">
        <v>9.39</v>
      </c>
      <c r="H9" s="18">
        <v>5.707744115470681</v>
      </c>
      <c r="I9" s="19"/>
      <c r="J9" s="43">
        <v>0.3373428926116797</v>
      </c>
      <c r="K9" s="19"/>
      <c r="L9" s="19"/>
      <c r="M9" s="32">
        <v>0.4408236078853397</v>
      </c>
      <c r="N9" s="3">
        <v>0.4165417786366257</v>
      </c>
      <c r="O9" s="3">
        <v>0.1845432241331367</v>
      </c>
    </row>
    <row r="10">
      <c r="A10" s="1" t="s">
        <v>24</v>
      </c>
      <c r="B10" s="44">
        <v>0.992524625340439</v>
      </c>
      <c r="C10" s="19"/>
      <c r="D10" s="19"/>
      <c r="E10" s="19"/>
      <c r="F10" s="18">
        <v>29.5596103507831</v>
      </c>
      <c r="G10" s="19"/>
      <c r="H10" s="19"/>
      <c r="I10" s="19"/>
      <c r="J10" s="19"/>
      <c r="K10" s="19"/>
      <c r="L10" s="19"/>
      <c r="M10" s="45">
        <v>0.5394278175785998</v>
      </c>
      <c r="N10" s="3">
        <v>-0.2999845171292621</v>
      </c>
      <c r="O10" s="3">
        <v>0.53642355940654</v>
      </c>
    </row>
    <row r="11">
      <c r="A11" s="1" t="s">
        <v>25</v>
      </c>
      <c r="B11" s="46">
        <v>-1.46933081175439</v>
      </c>
      <c r="C11" s="18">
        <v>13.1456400046218</v>
      </c>
      <c r="D11" s="19"/>
      <c r="E11" s="19"/>
      <c r="F11" s="18">
        <v>44.4030093943695</v>
      </c>
      <c r="G11" s="19"/>
      <c r="H11" s="19"/>
      <c r="I11" s="19"/>
      <c r="J11" s="19"/>
      <c r="K11" s="19"/>
      <c r="L11" s="19"/>
      <c r="M11" s="45">
        <v>0.5378660991342298</v>
      </c>
      <c r="N11" s="3">
        <v>-0.8789986141026392</v>
      </c>
      <c r="O11" s="3">
        <v>0.530850389543741</v>
      </c>
    </row>
    <row r="12">
      <c r="A12" s="1" t="s">
        <v>26</v>
      </c>
      <c r="B12" s="18">
        <v>2.20936848979939</v>
      </c>
      <c r="C12" s="18">
        <v>35.2492265648321</v>
      </c>
      <c r="D12" s="19"/>
      <c r="E12" s="19"/>
      <c r="F12" s="18">
        <v>79.24604270792591</v>
      </c>
      <c r="G12" s="19"/>
      <c r="H12" s="19"/>
      <c r="I12" s="19"/>
      <c r="J12" s="19"/>
      <c r="K12" s="19"/>
      <c r="L12" s="19"/>
      <c r="M12" s="47">
        <v>0.5794348297449232</v>
      </c>
      <c r="N12" s="3">
        <v>-0.2477912094093856</v>
      </c>
      <c r="O12" s="3">
        <v>0.6791931318027502</v>
      </c>
    </row>
    <row r="13">
      <c r="A13" s="1" t="s">
        <v>27</v>
      </c>
      <c r="B13" s="48">
        <v>-1.77099463350953</v>
      </c>
      <c r="C13" s="18">
        <v>71.3300251691521</v>
      </c>
      <c r="D13" s="19"/>
      <c r="E13" s="19"/>
      <c r="F13" s="18">
        <v>61.897968642424</v>
      </c>
      <c r="G13" s="19"/>
      <c r="H13" s="19"/>
      <c r="I13" s="19"/>
      <c r="J13" s="19"/>
      <c r="K13" s="19"/>
      <c r="L13" s="19"/>
      <c r="M13" s="49">
        <v>0.5521983102421807</v>
      </c>
      <c r="N13" s="3">
        <v>-0.5276208947061042</v>
      </c>
      <c r="O13" s="3">
        <v>0.5819965146996904</v>
      </c>
    </row>
    <row r="14">
      <c r="A14" s="1" t="s">
        <v>28</v>
      </c>
      <c r="B14" s="50">
        <v>-0.828801355740078</v>
      </c>
      <c r="C14" s="18">
        <v>46.5224986659322</v>
      </c>
      <c r="D14" s="19"/>
      <c r="E14" s="19"/>
      <c r="F14" s="18">
        <v>643.042560625541</v>
      </c>
      <c r="G14" s="19"/>
      <c r="H14" s="19"/>
      <c r="I14" s="19"/>
      <c r="J14" s="19"/>
      <c r="K14" s="19"/>
      <c r="L14" s="19"/>
      <c r="M14" s="37">
        <v>0.1334012182638673</v>
      </c>
      <c r="N14" s="3">
        <v>0.002037543925405486</v>
      </c>
      <c r="O14" s="3">
        <v>-0.9125285324081931</v>
      </c>
    </row>
    <row r="15">
      <c r="A15" s="1" t="s">
        <v>29</v>
      </c>
      <c r="B15" s="51">
        <v>1.69444688834749</v>
      </c>
      <c r="C15" s="18">
        <v>64.3209101553548</v>
      </c>
      <c r="D15" s="19"/>
      <c r="E15" s="19"/>
      <c r="F15" s="18">
        <v>116.229205257758</v>
      </c>
      <c r="G15" s="19"/>
      <c r="H15" s="19"/>
      <c r="I15" s="19"/>
      <c r="J15" s="19"/>
      <c r="K15" s="19"/>
      <c r="L15" s="19"/>
      <c r="M15" s="52">
        <v>-0.03596911710020632</v>
      </c>
      <c r="N15" s="3">
        <v>-0.08958620163737163</v>
      </c>
      <c r="O15" s="3">
        <v>-1.516945834455214</v>
      </c>
    </row>
    <row r="16">
      <c r="A16" s="1" t="s">
        <v>30</v>
      </c>
      <c r="B16" s="18">
        <v>2.10661209783963</v>
      </c>
      <c r="C16" s="18">
        <v>61.1243613638526</v>
      </c>
      <c r="D16" s="19"/>
      <c r="E16" s="19"/>
      <c r="F16" s="18">
        <v>236.933974075014</v>
      </c>
      <c r="G16" s="19"/>
      <c r="H16" s="19"/>
      <c r="I16" s="19"/>
      <c r="J16" s="19"/>
      <c r="K16" s="19"/>
      <c r="L16" s="19"/>
      <c r="M16" s="53">
        <v>0.5254471626337067</v>
      </c>
      <c r="N16" s="3">
        <v>0.05973693635039515</v>
      </c>
      <c r="O16" s="3">
        <v>0.4865320023964034</v>
      </c>
    </row>
    <row r="17">
      <c r="A17" s="1" t="s">
        <v>31</v>
      </c>
      <c r="B17" s="54">
        <v>-0.75367192616747</v>
      </c>
      <c r="C17" s="18">
        <v>33.1072230203582</v>
      </c>
      <c r="D17" s="19"/>
      <c r="E17" s="19"/>
      <c r="F17" s="18">
        <v>154.773780178169</v>
      </c>
      <c r="G17" s="19"/>
      <c r="H17" s="19"/>
      <c r="I17" s="19"/>
      <c r="J17" s="19"/>
      <c r="K17" s="19"/>
      <c r="L17" s="19"/>
      <c r="M17" s="55">
        <v>0.299616292897504</v>
      </c>
      <c r="N17" s="3">
        <v>-0.5543474040408308</v>
      </c>
      <c r="O17" s="3">
        <v>-0.3193711370847798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